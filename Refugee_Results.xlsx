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dcf329245b32f7/Documents/Proving Blank Slate/"/>
    </mc:Choice>
  </mc:AlternateContent>
  <xr:revisionPtr revIDLastSave="21" documentId="13_ncr:1_{2FB84F80-8EC2-4CCB-8BAF-899ADF1DCFA3}" xr6:coauthVersionLast="47" xr6:coauthVersionMax="47" xr10:uidLastSave="{4511723A-DB39-4383-A584-9BBC690D13AF}"/>
  <bookViews>
    <workbookView xWindow="-105" yWindow="0" windowWidth="14610" windowHeight="16305" activeTab="4" xr2:uid="{228AB681-EEE8-4905-8091-E0EBBE9B6D43}"/>
  </bookViews>
  <sheets>
    <sheet name="2016 Self-Suff" sheetId="1" r:id="rId1"/>
    <sheet name="2017 ES" sheetId="5" r:id="rId2"/>
    <sheet name="2018" sheetId="6" r:id="rId3"/>
    <sheet name="Unimputed Pooled Self-Sufficien" sheetId="7" r:id="rId4"/>
    <sheet name="Pooled Self-sufficiency" sheetId="2" r:id="rId5"/>
    <sheet name="POOLED JOB1YEAR" sheetId="3" r:id="rId6"/>
    <sheet name="HOURS POOLED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3" i="1"/>
  <c r="X14" i="1"/>
  <c r="X15" i="1"/>
  <c r="X16" i="1"/>
  <c r="X17" i="1"/>
  <c r="X18" i="1"/>
  <c r="X19" i="1"/>
  <c r="X20" i="1"/>
  <c r="X22" i="1"/>
  <c r="X32" i="1"/>
  <c r="X33" i="1"/>
  <c r="X34" i="1"/>
  <c r="X35" i="1"/>
  <c r="X37" i="1"/>
  <c r="X38" i="1"/>
  <c r="X39" i="1"/>
  <c r="X40" i="1"/>
  <c r="X41" i="1"/>
  <c r="X43" i="1"/>
  <c r="X44" i="1"/>
  <c r="X45" i="1"/>
  <c r="X48" i="1"/>
  <c r="X49" i="1"/>
  <c r="X50" i="1"/>
  <c r="X51" i="1"/>
  <c r="X52" i="1"/>
  <c r="X53" i="1"/>
  <c r="AF3" i="1"/>
  <c r="AF4" i="1"/>
  <c r="AF5" i="1"/>
  <c r="AF7" i="1"/>
  <c r="AF8" i="1"/>
  <c r="AF9" i="1"/>
  <c r="AF10" i="1"/>
  <c r="AF11" i="1"/>
  <c r="AF13" i="1"/>
  <c r="AF14" i="1"/>
  <c r="AF15" i="1"/>
  <c r="AF16" i="1"/>
  <c r="AF17" i="1"/>
  <c r="AF18" i="1"/>
  <c r="AF19" i="1"/>
  <c r="AF21" i="1"/>
  <c r="AF22" i="1"/>
  <c r="AF32" i="1"/>
  <c r="AF33" i="1"/>
  <c r="AF34" i="1"/>
  <c r="AF35" i="1"/>
  <c r="AF37" i="1"/>
  <c r="AF38" i="1"/>
  <c r="AF39" i="1"/>
  <c r="AF40" i="1"/>
  <c r="AF41" i="1"/>
  <c r="AF43" i="1"/>
  <c r="AF44" i="1"/>
  <c r="AF45" i="1"/>
  <c r="AF47" i="1"/>
  <c r="AF48" i="1"/>
  <c r="AF49" i="1"/>
  <c r="AF50" i="1"/>
  <c r="AF51" i="1"/>
  <c r="AF52" i="1"/>
  <c r="AF53" i="1"/>
  <c r="AF2" i="1"/>
  <c r="X3" i="1"/>
  <c r="X4" i="1"/>
  <c r="X5" i="1"/>
  <c r="X2" i="1"/>
  <c r="O3" i="1"/>
  <c r="O4" i="1"/>
  <c r="O5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6" i="1"/>
  <c r="O27" i="1"/>
  <c r="O28" i="1"/>
  <c r="O29" i="1"/>
  <c r="O30" i="1"/>
  <c r="O32" i="1"/>
  <c r="O33" i="1"/>
  <c r="O34" i="1"/>
  <c r="O35" i="1"/>
  <c r="O37" i="1"/>
  <c r="O38" i="1"/>
  <c r="O39" i="1"/>
  <c r="O40" i="1"/>
  <c r="O41" i="1"/>
  <c r="O43" i="1"/>
  <c r="O44" i="1"/>
  <c r="O45" i="1"/>
  <c r="O48" i="1"/>
  <c r="O49" i="1"/>
  <c r="O50" i="1"/>
  <c r="O51" i="1"/>
  <c r="O52" i="1"/>
  <c r="O53" i="1"/>
  <c r="O2" i="1"/>
  <c r="G3" i="1"/>
  <c r="G4" i="1"/>
  <c r="G5" i="1"/>
  <c r="G7" i="1"/>
  <c r="G8" i="1"/>
  <c r="G9" i="1"/>
  <c r="G10" i="1"/>
  <c r="G11" i="1"/>
  <c r="G13" i="1"/>
  <c r="G14" i="1"/>
  <c r="G15" i="1"/>
  <c r="G16" i="1"/>
  <c r="G17" i="1"/>
  <c r="G18" i="1"/>
  <c r="G20" i="1"/>
  <c r="G25" i="1"/>
  <c r="G26" i="1"/>
  <c r="G27" i="1"/>
  <c r="G28" i="1"/>
  <c r="G29" i="1"/>
  <c r="G30" i="1"/>
  <c r="G32" i="1"/>
  <c r="G33" i="1"/>
  <c r="G34" i="1"/>
  <c r="G35" i="1"/>
  <c r="G37" i="1"/>
  <c r="G38" i="1"/>
  <c r="G39" i="1"/>
  <c r="G40" i="1"/>
  <c r="G41" i="1"/>
  <c r="G43" i="1"/>
  <c r="G44" i="1"/>
  <c r="G45" i="1"/>
  <c r="G48" i="1"/>
  <c r="G49" i="1"/>
  <c r="G50" i="1"/>
  <c r="G51" i="1"/>
  <c r="G52" i="1"/>
  <c r="G53" i="1"/>
  <c r="G2" i="1"/>
  <c r="H4" i="7"/>
  <c r="H5" i="7"/>
  <c r="H6" i="7"/>
  <c r="H7" i="7"/>
  <c r="H9" i="7"/>
  <c r="H10" i="7"/>
  <c r="H11" i="7"/>
  <c r="H12" i="7"/>
  <c r="H13" i="7"/>
  <c r="H15" i="7"/>
  <c r="H16" i="7"/>
  <c r="H17" i="7"/>
  <c r="H18" i="7"/>
  <c r="H19" i="7"/>
  <c r="H20" i="7"/>
  <c r="H21" i="7"/>
  <c r="H22" i="7"/>
  <c r="H23" i="7"/>
  <c r="H24" i="7"/>
  <c r="H25" i="7"/>
  <c r="H27" i="7"/>
  <c r="H28" i="7"/>
  <c r="H29" i="7"/>
  <c r="H30" i="7"/>
  <c r="H31" i="7"/>
  <c r="H32" i="7"/>
  <c r="H34" i="7"/>
  <c r="H35" i="7"/>
  <c r="H36" i="7"/>
  <c r="H37" i="7"/>
  <c r="H38" i="7"/>
  <c r="H40" i="7"/>
  <c r="H41" i="7"/>
  <c r="H42" i="7"/>
  <c r="H43" i="7"/>
  <c r="H44" i="7"/>
  <c r="H46" i="7"/>
  <c r="H47" i="7"/>
  <c r="H48" i="7"/>
  <c r="H50" i="7"/>
  <c r="H51" i="7"/>
  <c r="H52" i="7"/>
  <c r="H53" i="7"/>
  <c r="H54" i="7"/>
  <c r="H55" i="7"/>
  <c r="H56" i="7"/>
  <c r="BZ7" i="3"/>
  <c r="BZ8" i="3"/>
  <c r="BZ9" i="3"/>
  <c r="BZ11" i="3"/>
  <c r="BZ12" i="3"/>
  <c r="BZ13" i="3"/>
  <c r="BZ14" i="3"/>
  <c r="BZ16" i="3"/>
  <c r="BZ17" i="3"/>
  <c r="BZ18" i="3"/>
  <c r="BZ19" i="3"/>
  <c r="BZ20" i="3"/>
  <c r="BZ21" i="3"/>
  <c r="BZ22" i="3"/>
  <c r="BZ24" i="3"/>
  <c r="BZ25" i="3"/>
  <c r="BZ33" i="3"/>
  <c r="BZ34" i="3"/>
  <c r="BZ35" i="3"/>
  <c r="BZ37" i="3"/>
  <c r="BZ39" i="3"/>
  <c r="BZ40" i="3"/>
  <c r="BZ41" i="3"/>
  <c r="BZ42" i="3"/>
  <c r="BZ43" i="3"/>
  <c r="BZ45" i="3"/>
  <c r="BZ46" i="3"/>
  <c r="BZ47" i="3"/>
  <c r="BZ6" i="3"/>
  <c r="BP7" i="3"/>
  <c r="BP8" i="3"/>
  <c r="BP9" i="3"/>
  <c r="BP10" i="3"/>
  <c r="BP12" i="3"/>
  <c r="BP13" i="3"/>
  <c r="BP14" i="3"/>
  <c r="BP15" i="3"/>
  <c r="BP18" i="3"/>
  <c r="BP19" i="3"/>
  <c r="BP20" i="3"/>
  <c r="BP21" i="3"/>
  <c r="BP22" i="3"/>
  <c r="BP23" i="3"/>
  <c r="BP24" i="3"/>
  <c r="BP26" i="3"/>
  <c r="BP34" i="3"/>
  <c r="BP35" i="3"/>
  <c r="BP36" i="3"/>
  <c r="BP38" i="3"/>
  <c r="BP40" i="3"/>
  <c r="BP41" i="3"/>
  <c r="BP42" i="3"/>
  <c r="BP43" i="3"/>
  <c r="BP44" i="3"/>
  <c r="BP46" i="3"/>
  <c r="BP47" i="3"/>
  <c r="BP48" i="3"/>
  <c r="BF7" i="3"/>
  <c r="BF8" i="3"/>
  <c r="BF9" i="3"/>
  <c r="BF10" i="3"/>
  <c r="BF12" i="3"/>
  <c r="BF13" i="3"/>
  <c r="BF14" i="3"/>
  <c r="BF15" i="3"/>
  <c r="BF17" i="3"/>
  <c r="BF18" i="3"/>
  <c r="BF19" i="3"/>
  <c r="BF20" i="3"/>
  <c r="BF21" i="3"/>
  <c r="BF22" i="3"/>
  <c r="BF23" i="3"/>
  <c r="BF24" i="3"/>
  <c r="BF28" i="3"/>
  <c r="BF29" i="3"/>
  <c r="BF30" i="3"/>
  <c r="BF31" i="3"/>
  <c r="BF32" i="3"/>
  <c r="BF33" i="3"/>
  <c r="BF35" i="3"/>
  <c r="BF36" i="3"/>
  <c r="BF37" i="3"/>
  <c r="BF39" i="3"/>
  <c r="BF41" i="3"/>
  <c r="BF42" i="3"/>
  <c r="BF43" i="3"/>
  <c r="BF44" i="3"/>
  <c r="BF45" i="3"/>
  <c r="BF47" i="3"/>
  <c r="BF48" i="3"/>
  <c r="BF49" i="3"/>
  <c r="AX7" i="3"/>
  <c r="AX8" i="3"/>
  <c r="AX9" i="3"/>
  <c r="AX10" i="3"/>
  <c r="AX12" i="3"/>
  <c r="AX13" i="3"/>
  <c r="AX14" i="3"/>
  <c r="AX15" i="3"/>
  <c r="AX17" i="3"/>
  <c r="AX18" i="3"/>
  <c r="AX19" i="3"/>
  <c r="AX20" i="3"/>
  <c r="AX21" i="3"/>
  <c r="AX22" i="3"/>
  <c r="AX24" i="3"/>
  <c r="AX28" i="3"/>
  <c r="AX29" i="3"/>
  <c r="AX30" i="3"/>
  <c r="AX31" i="3"/>
  <c r="AX32" i="3"/>
  <c r="AX33" i="3"/>
  <c r="AX35" i="3"/>
  <c r="AX36" i="3"/>
  <c r="AX37" i="3"/>
  <c r="AX39" i="3"/>
  <c r="AX41" i="3"/>
  <c r="AX42" i="3"/>
  <c r="AX43" i="3"/>
  <c r="AX44" i="3"/>
  <c r="AX46" i="3"/>
  <c r="AX47" i="3"/>
  <c r="AX48" i="3"/>
  <c r="AX49" i="3"/>
  <c r="AP12" i="3"/>
  <c r="AP13" i="3"/>
  <c r="AP14" i="3"/>
  <c r="AP15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9" i="3"/>
  <c r="AP40" i="3"/>
  <c r="AP41" i="3"/>
  <c r="AP42" i="3"/>
  <c r="AP43" i="3"/>
  <c r="AP45" i="3"/>
  <c r="AP46" i="3"/>
  <c r="AP47" i="3"/>
  <c r="AP7" i="3"/>
  <c r="AP8" i="3"/>
  <c r="AP9" i="3"/>
  <c r="AP10" i="3"/>
  <c r="AB15" i="3"/>
  <c r="AI7" i="3"/>
  <c r="AI8" i="3"/>
  <c r="AI9" i="3"/>
  <c r="AI10" i="3"/>
  <c r="AI12" i="3"/>
  <c r="AI13" i="3"/>
  <c r="AI14" i="3"/>
  <c r="AI15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9" i="3"/>
  <c r="AI40" i="3"/>
  <c r="AI41" i="3"/>
  <c r="AI42" i="3"/>
  <c r="AI43" i="3"/>
  <c r="AI45" i="3"/>
  <c r="AI46" i="3"/>
  <c r="AI47" i="3"/>
  <c r="AB7" i="3"/>
  <c r="AB8" i="3"/>
  <c r="AB9" i="3"/>
  <c r="AB10" i="3"/>
  <c r="AB12" i="3"/>
  <c r="AB13" i="3"/>
  <c r="AB14" i="3"/>
  <c r="AB16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40" i="3"/>
  <c r="AB41" i="3"/>
  <c r="AB42" i="3"/>
  <c r="U7" i="3"/>
  <c r="U8" i="3"/>
  <c r="U9" i="3"/>
  <c r="U10" i="3"/>
  <c r="U12" i="3"/>
  <c r="U13" i="3"/>
  <c r="U14" i="3"/>
  <c r="U15" i="3"/>
  <c r="U16" i="3"/>
  <c r="U18" i="3"/>
  <c r="U19" i="3"/>
  <c r="U20" i="3"/>
  <c r="U21" i="3"/>
  <c r="U22" i="3"/>
  <c r="U23" i="3"/>
  <c r="U24" i="3"/>
  <c r="U25" i="3"/>
  <c r="U26" i="3"/>
  <c r="U27" i="3"/>
  <c r="U28" i="3"/>
  <c r="U30" i="3"/>
  <c r="U31" i="3"/>
  <c r="U32" i="3"/>
  <c r="U33" i="3"/>
  <c r="U34" i="3"/>
  <c r="U35" i="3"/>
  <c r="U37" i="3"/>
  <c r="U38" i="3"/>
  <c r="U39" i="3"/>
  <c r="U40" i="3"/>
  <c r="N28" i="3"/>
  <c r="N13" i="3"/>
  <c r="N14" i="3"/>
  <c r="N15" i="3"/>
  <c r="N16" i="3"/>
  <c r="N18" i="3"/>
  <c r="N19" i="3"/>
  <c r="N20" i="3"/>
  <c r="N21" i="3"/>
  <c r="N22" i="3"/>
  <c r="N23" i="3"/>
  <c r="N24" i="3"/>
  <c r="N25" i="3"/>
  <c r="N26" i="3"/>
  <c r="N27" i="3"/>
  <c r="N30" i="3"/>
  <c r="N31" i="3"/>
  <c r="N32" i="3"/>
  <c r="N33" i="3"/>
  <c r="N34" i="3"/>
  <c r="N35" i="3"/>
  <c r="N9" i="3"/>
  <c r="N10" i="3"/>
  <c r="N12" i="3"/>
  <c r="N7" i="3"/>
  <c r="N8" i="3"/>
  <c r="G7" i="3"/>
  <c r="G8" i="3"/>
  <c r="G9" i="3"/>
  <c r="G10" i="3"/>
  <c r="G12" i="3"/>
  <c r="G13" i="3"/>
  <c r="G14" i="3"/>
  <c r="G15" i="3"/>
  <c r="G16" i="3"/>
  <c r="J21" i="6"/>
  <c r="J30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2" i="6"/>
  <c r="J23" i="6"/>
  <c r="J24" i="6"/>
  <c r="J25" i="6"/>
  <c r="J26" i="6"/>
  <c r="J27" i="6"/>
  <c r="J28" i="6"/>
  <c r="J29" i="6"/>
  <c r="J31" i="6"/>
  <c r="J32" i="6"/>
  <c r="J33" i="6"/>
  <c r="J34" i="6"/>
  <c r="J35" i="6"/>
  <c r="J36" i="6"/>
  <c r="J37" i="6"/>
  <c r="J38" i="6"/>
  <c r="J39" i="6"/>
  <c r="J40" i="6"/>
  <c r="J41" i="6"/>
  <c r="J42" i="6"/>
  <c r="H2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3" i="5"/>
  <c r="I116" i="4"/>
  <c r="I126" i="4"/>
  <c r="I127" i="4"/>
  <c r="I128" i="4"/>
  <c r="I129" i="4"/>
  <c r="I130" i="4"/>
  <c r="I131" i="4"/>
  <c r="I132" i="4"/>
  <c r="I133" i="4"/>
  <c r="I135" i="4"/>
  <c r="I136" i="4"/>
  <c r="I137" i="4"/>
  <c r="I138" i="4"/>
  <c r="I139" i="4"/>
  <c r="I140" i="4"/>
  <c r="I142" i="4"/>
  <c r="I143" i="4"/>
  <c r="I144" i="4"/>
  <c r="I145" i="4"/>
  <c r="I146" i="4"/>
  <c r="I148" i="4"/>
  <c r="I149" i="4"/>
  <c r="I150" i="4"/>
  <c r="I151" i="4"/>
  <c r="I152" i="4"/>
  <c r="I154" i="4"/>
  <c r="I155" i="4"/>
  <c r="I156" i="4"/>
  <c r="I158" i="4"/>
  <c r="I159" i="4"/>
  <c r="I160" i="4"/>
  <c r="I161" i="4"/>
  <c r="I162" i="4"/>
  <c r="I163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115" i="4"/>
  <c r="I117" i="4"/>
  <c r="I118" i="4"/>
  <c r="I119" i="4"/>
  <c r="I120" i="4"/>
  <c r="I121" i="4"/>
  <c r="I122" i="4"/>
  <c r="I123" i="4"/>
  <c r="I124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D69" i="1" l="1"/>
  <c r="D70" i="1"/>
  <c r="D71" i="1"/>
  <c r="D72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7" i="1"/>
  <c r="D98" i="1"/>
  <c r="D99" i="1"/>
  <c r="D100" i="1"/>
  <c r="D101" i="1"/>
  <c r="D102" i="1"/>
  <c r="D105" i="1"/>
  <c r="D106" i="1"/>
  <c r="D107" i="1"/>
  <c r="D108" i="1"/>
  <c r="D109" i="1"/>
  <c r="D110" i="1"/>
  <c r="D112" i="1"/>
  <c r="D113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5" i="1"/>
  <c r="D136" i="1"/>
  <c r="D137" i="1"/>
  <c r="D138" i="1"/>
  <c r="D139" i="1"/>
  <c r="D140" i="1"/>
  <c r="D143" i="1"/>
  <c r="D144" i="1"/>
  <c r="D145" i="1"/>
  <c r="D146" i="1"/>
  <c r="D147" i="1"/>
  <c r="D148" i="1"/>
  <c r="D150" i="1"/>
  <c r="D151" i="1"/>
  <c r="D152" i="1"/>
  <c r="D153" i="1"/>
  <c r="D155" i="1"/>
  <c r="D156" i="1"/>
  <c r="D157" i="1"/>
  <c r="D158" i="1"/>
  <c r="D159" i="1"/>
  <c r="D161" i="1"/>
  <c r="D162" i="1"/>
  <c r="D163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</calcChain>
</file>

<file path=xl/sharedStrings.xml><?xml version="1.0" encoding="utf-8"?>
<sst xmlns="http://schemas.openxmlformats.org/spreadsheetml/2006/main" count="1035" uniqueCount="143">
  <si>
    <t>(Intercept)</t>
  </si>
  <si>
    <t>as.numeric(WHENARRIVE)</t>
  </si>
  <si>
    <t>SEXFemale</t>
  </si>
  <si>
    <t>AGE</t>
  </si>
  <si>
    <t>numppl</t>
  </si>
  <si>
    <t>MARSTATDivorced/Seperated/Widowed</t>
  </si>
  <si>
    <t>MARSTATOther</t>
  </si>
  <si>
    <t>DEPENDS</t>
  </si>
  <si>
    <t>p.value</t>
  </si>
  <si>
    <t>MARSTATNever Married</t>
  </si>
  <si>
    <t>ORIGINBhutan</t>
  </si>
  <si>
    <t>ORIGINBurma</t>
  </si>
  <si>
    <t>ORIGINDR Congo</t>
  </si>
  <si>
    <t>ORIGINEritrea</t>
  </si>
  <si>
    <t>ORIGINIran</t>
  </si>
  <si>
    <t>ORIGINIraq</t>
  </si>
  <si>
    <t>ORIGINSomalia</t>
  </si>
  <si>
    <t>ORIGINSyria</t>
  </si>
  <si>
    <t>ORIGINOther</t>
  </si>
  <si>
    <t>HOSTREGNorthEast</t>
  </si>
  <si>
    <t>HOSTREGSouth</t>
  </si>
  <si>
    <t>HOSTREGMidWest</t>
  </si>
  <si>
    <t>SVYYR</t>
  </si>
  <si>
    <t>EDUC</t>
  </si>
  <si>
    <t>ECOSECTORNone</t>
  </si>
  <si>
    <t>ECOSECTORProfessional</t>
  </si>
  <si>
    <t>ECOSECTORSales</t>
  </si>
  <si>
    <t>ECOSECTORService</t>
  </si>
  <si>
    <t>ECOSECTORStudent</t>
  </si>
  <si>
    <t>ECOSECTOROther</t>
  </si>
  <si>
    <t>PREENGNot Well</t>
  </si>
  <si>
    <t>PREENGWell</t>
  </si>
  <si>
    <t>PREENGVery Well</t>
  </si>
  <si>
    <t>CURENGENYes</t>
  </si>
  <si>
    <t>CUREMPTYes</t>
  </si>
  <si>
    <t>CURENGNot Well</t>
  </si>
  <si>
    <t>CURENGWell</t>
  </si>
  <si>
    <t>CURENGVery Well</t>
  </si>
  <si>
    <t>TILLJOBb</t>
  </si>
  <si>
    <t>BASICS</t>
  </si>
  <si>
    <t>relevel(URECOSEC, ref = 2)None</t>
  </si>
  <si>
    <t>relevel(URECOSEC, ref = 2)Other</t>
  </si>
  <si>
    <t>term</t>
  </si>
  <si>
    <t>estimate</t>
  </si>
  <si>
    <t>std.error</t>
  </si>
  <si>
    <t>statistic</t>
  </si>
  <si>
    <t>df</t>
  </si>
  <si>
    <t>WEEKLY WORK HOURS + Stahel's quantiles constant</t>
  </si>
  <si>
    <t>WEEKHOUR</t>
  </si>
  <si>
    <t>PUT IN B</t>
  </si>
  <si>
    <t>POSTCON</t>
  </si>
  <si>
    <t>PRECON</t>
  </si>
  <si>
    <t>PREHU</t>
  </si>
  <si>
    <t>COMPLETE MODEL</t>
  </si>
  <si>
    <t>TILLJOB</t>
  </si>
  <si>
    <t>Percent increase for every on unit increase in the IV</t>
  </si>
  <si>
    <t>MARSTATNever</t>
  </si>
  <si>
    <t>ORIGINDR</t>
  </si>
  <si>
    <t>PREENGNot</t>
  </si>
  <si>
    <t>PREENGVery</t>
  </si>
  <si>
    <t>CURENGNot</t>
  </si>
  <si>
    <t>CURENGVery</t>
  </si>
  <si>
    <t>relevel(URECOSEC,</t>
  </si>
  <si>
    <t>FI</t>
  </si>
  <si>
    <t>2)Retail/Sales</t>
  </si>
  <si>
    <t>2)Professional/ED/Health/SocialServices</t>
  </si>
  <si>
    <t>2)General</t>
  </si>
  <si>
    <t>2)Other</t>
  </si>
  <si>
    <t>**</t>
  </si>
  <si>
    <t>&lt; 2e-16</t>
  </si>
  <si>
    <t>***</t>
  </si>
  <si>
    <t>.</t>
  </si>
  <si>
    <t>*</t>
  </si>
  <si>
    <t>Est</t>
  </si>
  <si>
    <t>SE</t>
  </si>
  <si>
    <t>t</t>
  </si>
  <si>
    <t>est</t>
  </si>
  <si>
    <t>THIS BEGINS THE UNIMPUTED ANALYSES</t>
  </si>
  <si>
    <t>OR</t>
  </si>
  <si>
    <t>relevel(ECOSECTOR, ref = "Other")None</t>
  </si>
  <si>
    <t>relevel(ECOSECTOR, ref = "Other")Sales</t>
  </si>
  <si>
    <t>relevel(ECOSECTOR, "Other")Student</t>
  </si>
  <si>
    <t>relevel(ECOSECTOR, "Other")None</t>
  </si>
  <si>
    <t>relevel(ECOSECTOR, "Other")Professional</t>
  </si>
  <si>
    <t>relevel(ECOSECTOR, "Other")Sales</t>
  </si>
  <si>
    <t>relevel(ECOSECTOR, "Other")Service</t>
  </si>
  <si>
    <t>relevel(ECOSECTOR, "Other")Blue Collar</t>
  </si>
  <si>
    <t>relevel(ORIGIN, "Iraq")Cuba</t>
  </si>
  <si>
    <t>relevel(ORIGIN, "Iraq")Bhutan</t>
  </si>
  <si>
    <t>relevel(ORIGIN, "Iraq")Burma</t>
  </si>
  <si>
    <t>relevel(ORIGIN, "Iraq")DR Congo</t>
  </si>
  <si>
    <t>relevel(ORIGIN, "Iraq")Iran</t>
  </si>
  <si>
    <t>relevel(ORIGIN, "Iraq")Somalia</t>
  </si>
  <si>
    <t>relevel(ORIGIN, "Iraq")Syria</t>
  </si>
  <si>
    <t>relevel(ORIGIN, "Iraq")Thailand</t>
  </si>
  <si>
    <t>relevel(ORIGIN, "Iraq")Ukraine</t>
  </si>
  <si>
    <t>relevel(ORIGIN, "Iraq")El Salvador</t>
  </si>
  <si>
    <t>relevel(ORIGIN, "Iraq")Other</t>
  </si>
  <si>
    <t>KIDS</t>
  </si>
  <si>
    <t>MarSTATDivorced/Seperated/Widowed</t>
  </si>
  <si>
    <t>p</t>
  </si>
  <si>
    <t>l(ECOSECTOR, ref = "Other")Professional</t>
  </si>
  <si>
    <t>elevel(ECOSECTOR, ref = "Other")Service</t>
  </si>
  <si>
    <t>el(ECOSECTOR, ref = "Other")Blue Collar</t>
  </si>
  <si>
    <t>elevel(ECOSECTOR, ref = "Other")Student</t>
  </si>
  <si>
    <t>Estq</t>
  </si>
  <si>
    <t>se</t>
  </si>
  <si>
    <t>or</t>
  </si>
  <si>
    <t>relevel(ORIGIN, ref = "Iraq")Cuba</t>
  </si>
  <si>
    <t>relevel(ORIGIN, ref = "Iraq")Bhutan</t>
  </si>
  <si>
    <t>relevel(ORIGIN, ref = "Iraq")Burma</t>
  </si>
  <si>
    <t>relevel(ORIGIN, ref = "Iraq")DR Congo</t>
  </si>
  <si>
    <t>relevel(ORIGIN, ref = "Iraq")Iran</t>
  </si>
  <si>
    <t>relevel(ORIGIN, ref = "Iraq")Somalia</t>
  </si>
  <si>
    <t>relevel(ORIGIN, ref = "Iraq")Syria</t>
  </si>
  <si>
    <t>relevel(ORIGIN, ref = "Iraq")Thailand</t>
  </si>
  <si>
    <t>relevel(ORIGIN, ref = "Iraq")Ukraine</t>
  </si>
  <si>
    <t>relevel(ORIGIN, ref = "Iraq")El Salvador</t>
  </si>
  <si>
    <t>relevel(ORIGIN, ref = "Iraq")Other</t>
  </si>
  <si>
    <t>Estimate</t>
  </si>
  <si>
    <t>Std. Error</t>
  </si>
  <si>
    <t>t value</t>
  </si>
  <si>
    <t>Pr(&gt;|t|)</t>
  </si>
  <si>
    <t>relevel(URECOSEC, ref = 2)Retail/Sales</t>
  </si>
  <si>
    <t>relevel(URECOSEC, ref = 2)Professional/ED/Health/SocialServices</t>
  </si>
  <si>
    <t>relevel(URECOSEC, ref = 2)General Logistical Support</t>
  </si>
  <si>
    <t>exp</t>
  </si>
  <si>
    <t>ORIGINThailand</t>
  </si>
  <si>
    <t>sd</t>
  </si>
  <si>
    <t>ORIGINEl Salvador</t>
  </si>
  <si>
    <t>ORIGINUkraine</t>
  </si>
  <si>
    <t>evel(URECOSEC, ref = 2)Professional/ED/Health/SocialServices</t>
  </si>
  <si>
    <t>Syria</t>
  </si>
  <si>
    <t>Ukrain</t>
  </si>
  <si>
    <t>Elsav</t>
  </si>
  <si>
    <t>ElSav</t>
  </si>
  <si>
    <t>Ukraine</t>
  </si>
  <si>
    <t>Bhutan</t>
  </si>
  <si>
    <t>Thailand</t>
  </si>
  <si>
    <t>summary_object$term</t>
  </si>
  <si>
    <t>round(exp(summary_object$estimate), 2)</t>
  </si>
  <si>
    <t>round(summary_object$p.value, 3)</t>
  </si>
  <si>
    <t>mmary_object$term round(exp(summary_object$estimate), 2) round(summary_object$p.value,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</si>
</sst>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 inden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2" fontId="1" fillId="0" borderId="0" xfId="0" applyNumberFormat="1" applyFont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vertical="center"/>
    </xf>
    <xf numFmtId="165" fontId="0" fillId="0" borderId="0" xfId="0" applyNumberFormat="1" applyAlignment="1">
      <alignment horizontal="left" indent="1"/>
    </xf>
    <xf numFmtId="165" fontId="1" fillId="0" borderId="0" xfId="0" applyNumberFormat="1" applyFont="1" applyAlignment="1">
      <alignment horizontal="left" vertical="center" indent="1"/>
    </xf>
    <xf numFmtId="165" fontId="1" fillId="2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F972-A01A-4FF7-B756-C461D55C8C95}">
  <dimension ref="A1:AF582"/>
  <sheetViews>
    <sheetView topLeftCell="W1" zoomScaleNormal="100" workbookViewId="0">
      <selection activeCell="AF2" sqref="AF2:AF53"/>
    </sheetView>
  </sheetViews>
  <sheetFormatPr defaultRowHeight="15" x14ac:dyDescent="0.25"/>
  <cols>
    <col min="1" max="1" width="31.7109375" customWidth="1"/>
    <col min="2" max="2" width="16.28515625" customWidth="1"/>
    <col min="3" max="3" width="8.140625" style="3" customWidth="1"/>
    <col min="4" max="4" width="11.28515625" style="2" customWidth="1"/>
    <col min="5" max="5" width="7.7109375" style="4" customWidth="1"/>
    <col min="6" max="6" width="9.42578125" style="4" customWidth="1"/>
    <col min="7" max="7" width="13.7109375" style="2" customWidth="1"/>
    <col min="8" max="8" width="7.5703125" customWidth="1"/>
    <col min="9" max="9" width="28.28515625" customWidth="1"/>
    <col min="10" max="10" width="12" style="3" bestFit="1" customWidth="1"/>
    <col min="11" max="11" width="8.5703125" style="2" customWidth="1"/>
    <col min="12" max="12" width="9.5703125" bestFit="1" customWidth="1"/>
    <col min="14" max="14" width="8.85546875" style="4"/>
    <col min="15" max="15" width="8.85546875" style="2"/>
    <col min="18" max="18" width="22.140625" customWidth="1"/>
    <col min="23" max="23" width="8.85546875" style="4"/>
    <col min="24" max="24" width="12.28515625" style="2" bestFit="1" customWidth="1"/>
    <col min="26" max="26" width="18.42578125" customWidth="1"/>
    <col min="31" max="31" width="8.85546875" style="4"/>
    <col min="32" max="32" width="8.85546875" style="2"/>
  </cols>
  <sheetData>
    <row r="1" spans="1:32" x14ac:dyDescent="0.25">
      <c r="A1" t="s">
        <v>42</v>
      </c>
      <c r="B1" t="s">
        <v>76</v>
      </c>
      <c r="C1" s="3" t="s">
        <v>128</v>
      </c>
      <c r="D1" s="2" t="s">
        <v>75</v>
      </c>
      <c r="E1" s="4" t="s">
        <v>46</v>
      </c>
      <c r="F1" s="4" t="s">
        <v>100</v>
      </c>
      <c r="G1" s="2" t="s">
        <v>126</v>
      </c>
      <c r="J1" s="3" t="s">
        <v>76</v>
      </c>
      <c r="K1" s="2" t="s">
        <v>128</v>
      </c>
      <c r="L1" t="s">
        <v>75</v>
      </c>
      <c r="M1" t="s">
        <v>46</v>
      </c>
      <c r="N1" s="4" t="s">
        <v>100</v>
      </c>
      <c r="O1" s="2" t="s">
        <v>126</v>
      </c>
      <c r="X1" s="2" t="s">
        <v>126</v>
      </c>
    </row>
    <row r="2" spans="1:32" x14ac:dyDescent="0.25">
      <c r="A2" t="s">
        <v>1</v>
      </c>
      <c r="B2" s="3">
        <v>-0.18613121199999999</v>
      </c>
      <c r="C2" s="3">
        <v>9.1446169999999993E-2</v>
      </c>
      <c r="D2" s="2">
        <v>-2.0354184599999998</v>
      </c>
      <c r="E2" s="4">
        <v>636.94539999999995</v>
      </c>
      <c r="F2" s="4">
        <v>4.2222210000000003E-2</v>
      </c>
      <c r="G2" s="2">
        <f>EXP(B2)</f>
        <v>0.83016466026991498</v>
      </c>
      <c r="I2" t="s">
        <v>1</v>
      </c>
      <c r="J2" s="3">
        <v>-0.41304036</v>
      </c>
      <c r="K2" s="2">
        <v>8.6953100000000005E-2</v>
      </c>
      <c r="L2">
        <v>-4.7501507399999996</v>
      </c>
      <c r="M2">
        <v>634.94569999999999</v>
      </c>
      <c r="N2" s="4">
        <v>2.5151880000000002E-6</v>
      </c>
      <c r="O2" s="2">
        <f>EXP(J2)</f>
        <v>0.66163557867700684</v>
      </c>
      <c r="R2" t="s">
        <v>1</v>
      </c>
      <c r="S2" s="1">
        <v>-0.21902189999999999</v>
      </c>
      <c r="T2">
        <v>0.11322193999999999</v>
      </c>
      <c r="U2">
        <v>-1.93444723</v>
      </c>
      <c r="V2">
        <v>589.95090000000005</v>
      </c>
      <c r="W2" s="4">
        <v>5.3535970000000002E-2</v>
      </c>
      <c r="X2" s="2">
        <f>EXP(S2)</f>
        <v>0.80330412560063813</v>
      </c>
      <c r="Z2" t="s">
        <v>1</v>
      </c>
      <c r="AA2">
        <v>-7.9099148999999994E-2</v>
      </c>
      <c r="AB2" s="1">
        <v>0.10391880000000001</v>
      </c>
      <c r="AC2">
        <v>-0.76116287000000005</v>
      </c>
      <c r="AD2">
        <v>664.94219999999996</v>
      </c>
      <c r="AE2" s="4">
        <v>0.44682959999999999</v>
      </c>
      <c r="AF2" s="2">
        <f>EXP(AA2)</f>
        <v>0.92394831135236632</v>
      </c>
    </row>
    <row r="3" spans="1:32" x14ac:dyDescent="0.25">
      <c r="A3" t="s">
        <v>2</v>
      </c>
      <c r="B3" s="3">
        <v>0.49465303900000002</v>
      </c>
      <c r="C3" s="3">
        <v>0.39462475000000002</v>
      </c>
      <c r="D3" s="2">
        <v>1.25347696</v>
      </c>
      <c r="E3" s="4">
        <v>636.94539999999995</v>
      </c>
      <c r="F3" s="4">
        <v>0.21049209999999999</v>
      </c>
      <c r="G3" s="2">
        <f t="shared" ref="G3:G53" si="0">EXP(B3)</f>
        <v>1.6399291488792802</v>
      </c>
      <c r="I3" t="s">
        <v>2</v>
      </c>
      <c r="J3" s="3">
        <v>-0.13589947999999999</v>
      </c>
      <c r="K3" s="2">
        <v>0.31415530000000003</v>
      </c>
      <c r="L3">
        <v>-0.43258695000000003</v>
      </c>
      <c r="M3">
        <v>634.94569999999999</v>
      </c>
      <c r="N3" s="4">
        <v>0.66546179999999999</v>
      </c>
      <c r="O3" s="2">
        <f t="shared" ref="O3:O53" si="1">EXP(J3)</f>
        <v>0.87293037504000381</v>
      </c>
      <c r="R3" t="s">
        <v>2</v>
      </c>
      <c r="S3" s="1">
        <v>0.59739120000000001</v>
      </c>
      <c r="T3">
        <v>0.39262447</v>
      </c>
      <c r="U3">
        <v>1.5215333499999999</v>
      </c>
      <c r="V3">
        <v>589.95090000000005</v>
      </c>
      <c r="W3" s="4">
        <v>0.12866179999999999</v>
      </c>
      <c r="X3" s="2">
        <f t="shared" ref="X3:X53" si="2">EXP(S3)</f>
        <v>1.8173714519977668</v>
      </c>
      <c r="Z3" t="s">
        <v>2</v>
      </c>
      <c r="AA3">
        <v>-5.0331433000000002E-2</v>
      </c>
      <c r="AB3" s="1">
        <v>0.3161158</v>
      </c>
      <c r="AC3">
        <v>-0.15921834000000001</v>
      </c>
      <c r="AD3">
        <v>664.94219999999996</v>
      </c>
      <c r="AE3" s="4">
        <v>0.87354520000000002</v>
      </c>
      <c r="AF3" s="2">
        <f t="shared" ref="AF3:AF53" si="3">EXP(AA3)</f>
        <v>0.95091420791833769</v>
      </c>
    </row>
    <row r="4" spans="1:32" x14ac:dyDescent="0.25">
      <c r="A4" t="s">
        <v>3</v>
      </c>
      <c r="B4" s="3">
        <v>7.1550140000000003E-3</v>
      </c>
      <c r="C4" s="3">
        <v>1.5236909999999999E-2</v>
      </c>
      <c r="D4" s="2">
        <v>0.46958422999999999</v>
      </c>
      <c r="E4" s="4">
        <v>636.94539999999995</v>
      </c>
      <c r="F4" s="4">
        <v>0.63881279999999996</v>
      </c>
      <c r="G4" s="2">
        <f t="shared" si="0"/>
        <v>1.0071806722712617</v>
      </c>
      <c r="I4" t="s">
        <v>3</v>
      </c>
      <c r="J4" s="3">
        <v>-1.002977E-2</v>
      </c>
      <c r="K4" s="2">
        <v>1.4186590000000001E-2</v>
      </c>
      <c r="L4">
        <v>-0.70698950999999999</v>
      </c>
      <c r="M4">
        <v>634.94569999999999</v>
      </c>
      <c r="N4" s="4">
        <v>0.47983239999999999</v>
      </c>
      <c r="O4" s="2">
        <f t="shared" si="1"/>
        <v>0.99002036040433028</v>
      </c>
      <c r="R4" t="s">
        <v>3</v>
      </c>
      <c r="S4" s="1">
        <v>-1.233083E-4</v>
      </c>
      <c r="T4">
        <v>1.533725E-2</v>
      </c>
      <c r="U4">
        <v>-8.0397899999999998E-3</v>
      </c>
      <c r="V4">
        <v>589.95090000000005</v>
      </c>
      <c r="W4" s="4">
        <v>0.99358800000000003</v>
      </c>
      <c r="X4" s="2">
        <f t="shared" si="2"/>
        <v>0.99987669930215595</v>
      </c>
      <c r="Z4" t="s">
        <v>3</v>
      </c>
      <c r="AA4">
        <v>-2.0880493E-2</v>
      </c>
      <c r="AB4" s="1">
        <v>1.622496E-2</v>
      </c>
      <c r="AC4">
        <v>-1.2869363</v>
      </c>
      <c r="AD4">
        <v>664.94219999999996</v>
      </c>
      <c r="AE4" s="4">
        <v>0.1985643</v>
      </c>
      <c r="AF4" s="2">
        <f t="shared" si="3"/>
        <v>0.97933599508310187</v>
      </c>
    </row>
    <row r="5" spans="1:32" x14ac:dyDescent="0.25">
      <c r="A5" t="s">
        <v>4</v>
      </c>
      <c r="B5" s="3">
        <v>-0.78848232200000001</v>
      </c>
      <c r="C5" s="3">
        <v>0.12562498</v>
      </c>
      <c r="D5" s="2">
        <v>-6.2764774299999999</v>
      </c>
      <c r="E5" s="4">
        <v>636.94539999999995</v>
      </c>
      <c r="F5" s="4">
        <v>6.4045809999999999E-10</v>
      </c>
      <c r="G5" s="2">
        <f t="shared" si="0"/>
        <v>0.45453410848900416</v>
      </c>
      <c r="I5" t="s">
        <v>4</v>
      </c>
      <c r="J5" s="3">
        <v>-0.74865402999999997</v>
      </c>
      <c r="K5" s="2">
        <v>0.1150803</v>
      </c>
      <c r="L5">
        <v>-6.5054952300000002</v>
      </c>
      <c r="M5">
        <v>634.94569999999999</v>
      </c>
      <c r="N5" s="4">
        <v>1.5708370000000001E-10</v>
      </c>
      <c r="O5" s="2">
        <f t="shared" si="1"/>
        <v>0.47300277201998925</v>
      </c>
      <c r="R5" t="s">
        <v>4</v>
      </c>
      <c r="S5" s="1">
        <v>-0.73273219999999994</v>
      </c>
      <c r="T5">
        <v>0.12952453999999999</v>
      </c>
      <c r="U5">
        <v>-5.6570917500000002</v>
      </c>
      <c r="V5">
        <v>589.95090000000005</v>
      </c>
      <c r="W5" s="4">
        <v>2.4025189999999999E-8</v>
      </c>
      <c r="X5" s="2">
        <f t="shared" si="2"/>
        <v>0.48059411541572322</v>
      </c>
      <c r="Z5" t="s">
        <v>4</v>
      </c>
      <c r="AA5">
        <v>-0.32063772499999998</v>
      </c>
      <c r="AB5" s="1">
        <v>0.10382420000000001</v>
      </c>
      <c r="AC5">
        <v>-3.08827666</v>
      </c>
      <c r="AD5">
        <v>664.94219999999996</v>
      </c>
      <c r="AE5" s="4">
        <v>2.097046E-3</v>
      </c>
      <c r="AF5" s="2">
        <f t="shared" si="3"/>
        <v>0.72568610130756828</v>
      </c>
    </row>
    <row r="6" spans="1:32" x14ac:dyDescent="0.25">
      <c r="B6" s="3"/>
      <c r="S6" s="1"/>
      <c r="AB6" s="1"/>
    </row>
    <row r="7" spans="1:32" x14ac:dyDescent="0.25">
      <c r="A7" t="s">
        <v>5</v>
      </c>
      <c r="B7" s="3">
        <v>0.50533979799999995</v>
      </c>
      <c r="C7" s="3">
        <v>0.45381755000000001</v>
      </c>
      <c r="D7" s="2">
        <v>1.11353075</v>
      </c>
      <c r="E7" s="4">
        <v>636.94539999999995</v>
      </c>
      <c r="F7" s="4">
        <v>0.26590059999999999</v>
      </c>
      <c r="G7" s="2">
        <f t="shared" si="0"/>
        <v>1.6575486564975632</v>
      </c>
      <c r="I7" t="s">
        <v>5</v>
      </c>
      <c r="J7" s="3">
        <v>-0.42328504</v>
      </c>
      <c r="K7" s="2">
        <v>0.39490900000000001</v>
      </c>
      <c r="L7">
        <v>-1.07185474</v>
      </c>
      <c r="M7">
        <v>634.94569999999999</v>
      </c>
      <c r="N7" s="4">
        <v>0.28419250000000001</v>
      </c>
      <c r="O7" s="2">
        <f t="shared" si="1"/>
        <v>0.65489193610754526</v>
      </c>
      <c r="R7" t="s">
        <v>5</v>
      </c>
      <c r="S7" s="1">
        <v>-0.6149732</v>
      </c>
      <c r="T7">
        <v>0.58249936999999996</v>
      </c>
      <c r="U7">
        <v>-1.05574912</v>
      </c>
      <c r="V7">
        <v>589.95090000000005</v>
      </c>
      <c r="W7" s="4">
        <v>0.29151500000000002</v>
      </c>
      <c r="X7" s="2">
        <f t="shared" si="2"/>
        <v>0.54065538467946761</v>
      </c>
      <c r="Z7" t="s">
        <v>5</v>
      </c>
      <c r="AA7">
        <v>-0.36148197999999998</v>
      </c>
      <c r="AB7" s="1">
        <v>0.50717440000000003</v>
      </c>
      <c r="AC7">
        <v>-0.71273699999999995</v>
      </c>
      <c r="AD7">
        <v>664.94219999999996</v>
      </c>
      <c r="AE7" s="4">
        <v>0.47625849999999997</v>
      </c>
      <c r="AF7" s="2">
        <f t="shared" si="3"/>
        <v>0.69664314947194261</v>
      </c>
    </row>
    <row r="8" spans="1:32" x14ac:dyDescent="0.25">
      <c r="A8" t="s">
        <v>9</v>
      </c>
      <c r="B8" s="3">
        <v>0.485904791</v>
      </c>
      <c r="C8" s="3">
        <v>0.30792878000000001</v>
      </c>
      <c r="D8" s="2">
        <v>1.57797784</v>
      </c>
      <c r="E8" s="4">
        <v>636.94539999999995</v>
      </c>
      <c r="F8" s="4">
        <v>0.11506719999999999</v>
      </c>
      <c r="G8" s="2">
        <f t="shared" si="0"/>
        <v>1.6256452127880066</v>
      </c>
      <c r="I8" s="3" t="s">
        <v>9</v>
      </c>
      <c r="J8" s="2">
        <v>6.1804480000000002E-2</v>
      </c>
      <c r="K8" s="2">
        <v>0.31048369999999997</v>
      </c>
      <c r="L8">
        <v>0.19905869000000001</v>
      </c>
      <c r="M8">
        <v>634.94569999999999</v>
      </c>
      <c r="N8" s="4">
        <v>0.84228060000000005</v>
      </c>
      <c r="O8" s="2">
        <f t="shared" si="1"/>
        <v>1.0637543391456807</v>
      </c>
      <c r="R8" t="s">
        <v>9</v>
      </c>
      <c r="S8" s="1">
        <v>-6.9858439999999994E-2</v>
      </c>
      <c r="T8">
        <v>0.35483249</v>
      </c>
      <c r="U8">
        <v>-0.19687721999999999</v>
      </c>
      <c r="V8">
        <v>589.95090000000005</v>
      </c>
      <c r="W8" s="4">
        <v>0.84399139999999995</v>
      </c>
      <c r="X8" s="2">
        <f t="shared" si="2"/>
        <v>0.93252581891776376</v>
      </c>
      <c r="Z8" t="s">
        <v>9</v>
      </c>
      <c r="AA8">
        <v>0.55896362200000005</v>
      </c>
      <c r="AB8" s="1">
        <v>0.33445730000000001</v>
      </c>
      <c r="AC8">
        <v>1.67125579</v>
      </c>
      <c r="AD8">
        <v>664.94219999999996</v>
      </c>
      <c r="AE8" s="4">
        <v>9.5141680000000006E-2</v>
      </c>
      <c r="AF8" s="2">
        <f t="shared" si="3"/>
        <v>1.7488590816874776</v>
      </c>
    </row>
    <row r="9" spans="1:32" x14ac:dyDescent="0.25">
      <c r="A9" s="3" t="s">
        <v>6</v>
      </c>
      <c r="B9" s="3">
        <v>-1.1025514620000001</v>
      </c>
      <c r="C9" s="2">
        <v>0.70580281</v>
      </c>
      <c r="D9">
        <v>-1.5621239200000001</v>
      </c>
      <c r="E9" s="4">
        <v>636.94539999999995</v>
      </c>
      <c r="F9" s="4">
        <v>0.1187555</v>
      </c>
      <c r="G9" s="2">
        <f t="shared" si="0"/>
        <v>0.33202285834466266</v>
      </c>
      <c r="I9" t="s">
        <v>6</v>
      </c>
      <c r="J9" s="3">
        <v>-0.22276700999999999</v>
      </c>
      <c r="K9" s="1">
        <v>0.90898190000000001</v>
      </c>
      <c r="L9">
        <v>-0.24507311000000001</v>
      </c>
      <c r="M9">
        <v>634.94569999999999</v>
      </c>
      <c r="N9" s="4">
        <v>0.80647899999999995</v>
      </c>
      <c r="O9" s="2">
        <f t="shared" si="1"/>
        <v>0.80030128977183135</v>
      </c>
      <c r="R9" t="s">
        <v>6</v>
      </c>
      <c r="S9" s="1">
        <v>-16.208469999999998</v>
      </c>
      <c r="T9">
        <v>0.89580316999999998</v>
      </c>
      <c r="U9">
        <v>-18.093785950000001</v>
      </c>
      <c r="V9">
        <v>589.95090000000005</v>
      </c>
      <c r="W9" s="4">
        <v>0</v>
      </c>
      <c r="X9" s="2">
        <f t="shared" si="2"/>
        <v>9.1358912003775255E-8</v>
      </c>
      <c r="Z9" t="s">
        <v>6</v>
      </c>
      <c r="AA9">
        <v>0.39389211699999999</v>
      </c>
      <c r="AB9" s="1">
        <v>0.48863050000000002</v>
      </c>
      <c r="AC9">
        <v>0.80611454000000005</v>
      </c>
      <c r="AD9">
        <v>664.94219999999996</v>
      </c>
      <c r="AE9" s="4">
        <v>0.42046499999999998</v>
      </c>
      <c r="AF9" s="2">
        <f t="shared" si="3"/>
        <v>1.4827405775440983</v>
      </c>
    </row>
    <row r="10" spans="1:32" x14ac:dyDescent="0.25">
      <c r="A10" t="s">
        <v>7</v>
      </c>
      <c r="B10" s="3">
        <v>-0.84205488900000003</v>
      </c>
      <c r="C10" s="3">
        <v>0.22999045000000001</v>
      </c>
      <c r="D10" s="2">
        <v>-3.66126022</v>
      </c>
      <c r="E10" s="4">
        <v>636.94539999999995</v>
      </c>
      <c r="F10" s="4">
        <v>2.7180619999999999E-4</v>
      </c>
      <c r="G10" s="2">
        <f t="shared" si="0"/>
        <v>0.43082431706299662</v>
      </c>
      <c r="I10" t="s">
        <v>7</v>
      </c>
      <c r="J10" s="3">
        <v>-0.25951579000000002</v>
      </c>
      <c r="K10" s="2">
        <v>0.18364659999999999</v>
      </c>
      <c r="L10">
        <v>-1.4131259300000001</v>
      </c>
      <c r="M10">
        <v>634.94569999999999</v>
      </c>
      <c r="N10" s="4">
        <v>0.15810869999999999</v>
      </c>
      <c r="O10" s="2">
        <f t="shared" si="1"/>
        <v>0.77142502709663607</v>
      </c>
      <c r="R10" t="s">
        <v>7</v>
      </c>
      <c r="S10" s="1">
        <v>-0.57348969999999999</v>
      </c>
      <c r="T10">
        <v>0.23968766</v>
      </c>
      <c r="U10">
        <v>-2.3926540900000002</v>
      </c>
      <c r="V10">
        <v>589.95090000000005</v>
      </c>
      <c r="W10" s="4">
        <v>1.70388E-2</v>
      </c>
      <c r="X10" s="2">
        <f t="shared" si="2"/>
        <v>0.56355536406013984</v>
      </c>
      <c r="Z10" t="s">
        <v>7</v>
      </c>
      <c r="AA10">
        <v>-1.3650065579999999</v>
      </c>
      <c r="AB10" s="1">
        <v>0.26091239999999999</v>
      </c>
      <c r="AC10">
        <v>-5.2316660600000002</v>
      </c>
      <c r="AD10">
        <v>664.94219999999996</v>
      </c>
      <c r="AE10" s="4">
        <v>2.254128E-7</v>
      </c>
      <c r="AF10" s="2">
        <f t="shared" si="3"/>
        <v>0.25537900120709622</v>
      </c>
    </row>
    <row r="11" spans="1:32" x14ac:dyDescent="0.25">
      <c r="A11" t="s">
        <v>98</v>
      </c>
      <c r="B11">
        <v>0.22794993499999999</v>
      </c>
      <c r="C11" s="3">
        <v>0.17717810000000001</v>
      </c>
      <c r="D11" s="2">
        <v>1.2865582200000001</v>
      </c>
      <c r="E11" s="4">
        <v>636.94539999999995</v>
      </c>
      <c r="F11" s="4">
        <v>0.1987157</v>
      </c>
      <c r="G11" s="2">
        <f t="shared" si="0"/>
        <v>1.2560224410946916</v>
      </c>
      <c r="I11" s="3" t="s">
        <v>98</v>
      </c>
      <c r="J11" s="2">
        <v>-9.4904890000000006E-2</v>
      </c>
      <c r="K11" s="2">
        <v>0.16507830000000001</v>
      </c>
      <c r="L11">
        <v>-0.57490841999999998</v>
      </c>
      <c r="M11">
        <v>634.94569999999999</v>
      </c>
      <c r="N11" s="4">
        <v>0.56555690000000003</v>
      </c>
      <c r="O11" s="2">
        <f t="shared" si="1"/>
        <v>0.90945942904121291</v>
      </c>
      <c r="R11" t="s">
        <v>98</v>
      </c>
      <c r="S11" s="1">
        <v>-0.2205608</v>
      </c>
      <c r="T11">
        <v>0.17099835999999999</v>
      </c>
      <c r="U11">
        <v>-1.28984169</v>
      </c>
      <c r="V11">
        <v>589.95090000000005</v>
      </c>
      <c r="W11" s="4">
        <v>0.19761100000000001</v>
      </c>
      <c r="X11" s="2">
        <f t="shared" si="2"/>
        <v>0.80206887159172713</v>
      </c>
      <c r="Z11" t="s">
        <v>98</v>
      </c>
      <c r="AA11">
        <v>-0.37877860699999999</v>
      </c>
      <c r="AB11" s="1">
        <v>0.14918390000000001</v>
      </c>
      <c r="AC11">
        <v>-2.5390046599999998</v>
      </c>
      <c r="AD11">
        <v>664.94219999999996</v>
      </c>
      <c r="AE11" s="4">
        <v>1.134361E-2</v>
      </c>
      <c r="AF11" s="2">
        <f t="shared" si="3"/>
        <v>0.68469718305079519</v>
      </c>
    </row>
    <row r="12" spans="1:32" x14ac:dyDescent="0.25">
      <c r="I12" s="3"/>
      <c r="J12" s="2"/>
      <c r="S12" s="1"/>
      <c r="AB12" s="1"/>
    </row>
    <row r="13" spans="1:32" x14ac:dyDescent="0.25">
      <c r="A13" t="s">
        <v>10</v>
      </c>
      <c r="B13" s="3">
        <v>-1.4340370659999999</v>
      </c>
      <c r="C13" s="2">
        <v>0.62864785000000001</v>
      </c>
      <c r="D13" s="2">
        <v>-2.2811452700000001</v>
      </c>
      <c r="E13" s="4">
        <v>636.94539999999995</v>
      </c>
      <c r="F13" s="4">
        <v>2.286912E-2</v>
      </c>
      <c r="G13" s="2">
        <f t="shared" si="0"/>
        <v>0.23834476382533204</v>
      </c>
      <c r="I13" t="s">
        <v>10</v>
      </c>
      <c r="J13" s="3">
        <v>1.96487002</v>
      </c>
      <c r="K13" s="1">
        <v>0.71278609999999998</v>
      </c>
      <c r="L13">
        <v>2.75660529</v>
      </c>
      <c r="M13">
        <v>634.94569999999999</v>
      </c>
      <c r="N13" s="4">
        <v>6.0082670000000003E-3</v>
      </c>
      <c r="O13" s="2">
        <f t="shared" si="1"/>
        <v>7.1339852544888229</v>
      </c>
      <c r="R13" t="s">
        <v>137</v>
      </c>
      <c r="S13" s="1"/>
      <c r="X13" s="2">
        <f t="shared" si="2"/>
        <v>1</v>
      </c>
      <c r="Z13" t="s">
        <v>10</v>
      </c>
      <c r="AA13">
        <v>-2.4580665640000001</v>
      </c>
      <c r="AB13" s="1">
        <v>0.89351760000000002</v>
      </c>
      <c r="AC13">
        <v>-2.7509997400000001</v>
      </c>
      <c r="AD13">
        <v>664.94219999999996</v>
      </c>
      <c r="AE13" s="4">
        <v>6.1031059999999996E-3</v>
      </c>
      <c r="AF13" s="2">
        <f t="shared" si="3"/>
        <v>8.5600293765532187E-2</v>
      </c>
    </row>
    <row r="14" spans="1:32" x14ac:dyDescent="0.25">
      <c r="A14" t="s">
        <v>11</v>
      </c>
      <c r="B14" s="3">
        <v>-0.98882514399999999</v>
      </c>
      <c r="C14" s="3">
        <v>0.56007435000000005</v>
      </c>
      <c r="D14" s="2">
        <v>-1.76552478</v>
      </c>
      <c r="E14" s="4">
        <v>636.94539999999995</v>
      </c>
      <c r="F14" s="4">
        <v>7.7954679999999998E-2</v>
      </c>
      <c r="G14" s="2">
        <f t="shared" si="0"/>
        <v>0.37201349666857736</v>
      </c>
      <c r="I14" s="3" t="s">
        <v>11</v>
      </c>
      <c r="J14" s="2">
        <v>1.4092330099999999</v>
      </c>
      <c r="K14" s="2">
        <v>0.64060249999999996</v>
      </c>
      <c r="L14">
        <v>2.1998555299999998</v>
      </c>
      <c r="M14">
        <v>634.94569999999999</v>
      </c>
      <c r="N14" s="4">
        <v>2.8176710000000001E-2</v>
      </c>
      <c r="O14" s="2">
        <f t="shared" si="1"/>
        <v>4.0928150516991888</v>
      </c>
      <c r="R14" t="s">
        <v>11</v>
      </c>
      <c r="S14" s="1">
        <v>1.4348050000000001</v>
      </c>
      <c r="T14">
        <v>0.60021765000000005</v>
      </c>
      <c r="U14">
        <v>2.3904741199999999</v>
      </c>
      <c r="V14">
        <v>589.95090000000005</v>
      </c>
      <c r="W14" s="4">
        <v>1.713928E-2</v>
      </c>
      <c r="X14" s="2">
        <f t="shared" si="2"/>
        <v>4.198826157851772</v>
      </c>
      <c r="Z14" t="s">
        <v>11</v>
      </c>
      <c r="AA14">
        <v>-2.7611396159999999</v>
      </c>
      <c r="AB14" s="1">
        <v>0.88719210000000004</v>
      </c>
      <c r="AC14">
        <v>-3.11222289</v>
      </c>
      <c r="AD14">
        <v>664.94219999999996</v>
      </c>
      <c r="AE14" s="4">
        <v>1.9364250000000001E-3</v>
      </c>
      <c r="AF14" s="2">
        <f t="shared" si="3"/>
        <v>6.3219681131430908E-2</v>
      </c>
    </row>
    <row r="15" spans="1:32" x14ac:dyDescent="0.25">
      <c r="A15" s="3" t="s">
        <v>12</v>
      </c>
      <c r="B15" s="3">
        <v>-2.3942504320000002</v>
      </c>
      <c r="C15" s="2">
        <v>0.76491600000000004</v>
      </c>
      <c r="D15">
        <v>-3.1300828200000002</v>
      </c>
      <c r="E15" s="4">
        <v>636.94539999999995</v>
      </c>
      <c r="F15" s="4">
        <v>1.8274910000000001E-3</v>
      </c>
      <c r="G15" s="2">
        <f t="shared" si="0"/>
        <v>9.1241044664377699E-2</v>
      </c>
      <c r="I15" t="s">
        <v>12</v>
      </c>
      <c r="J15" s="3">
        <v>1.7622338799999999</v>
      </c>
      <c r="K15" s="1">
        <v>0.71226239999999996</v>
      </c>
      <c r="L15">
        <v>2.47413594</v>
      </c>
      <c r="M15">
        <v>634.94569999999999</v>
      </c>
      <c r="N15" s="4">
        <v>1.361618E-2</v>
      </c>
      <c r="O15" s="2">
        <f t="shared" si="1"/>
        <v>5.8254361955245493</v>
      </c>
      <c r="R15" t="s">
        <v>12</v>
      </c>
      <c r="S15" s="1">
        <v>0.85640300000000003</v>
      </c>
      <c r="T15">
        <v>0.65199149000000001</v>
      </c>
      <c r="U15">
        <v>1.3135186700000001</v>
      </c>
      <c r="V15">
        <v>589.95090000000005</v>
      </c>
      <c r="W15" s="4">
        <v>0.18951879999999999</v>
      </c>
      <c r="X15" s="2">
        <f t="shared" si="2"/>
        <v>2.3546756741467645</v>
      </c>
      <c r="Z15" t="s">
        <v>12</v>
      </c>
      <c r="AA15">
        <v>-1.5184799229999999</v>
      </c>
      <c r="AB15" s="1">
        <v>0.83637269999999997</v>
      </c>
      <c r="AC15">
        <v>-1.81555405</v>
      </c>
      <c r="AD15">
        <v>664.94219999999996</v>
      </c>
      <c r="AE15" s="4">
        <v>6.9889110000000004E-2</v>
      </c>
      <c r="AF15" s="2">
        <f t="shared" si="3"/>
        <v>0.21904459867084841</v>
      </c>
    </row>
    <row r="16" spans="1:32" x14ac:dyDescent="0.25">
      <c r="A16" t="s">
        <v>14</v>
      </c>
      <c r="B16" s="3">
        <v>-0.438588635</v>
      </c>
      <c r="C16" s="3">
        <v>0.67321048000000006</v>
      </c>
      <c r="D16" s="2">
        <v>-0.65148812</v>
      </c>
      <c r="E16" s="4">
        <v>636.94539999999995</v>
      </c>
      <c r="F16" s="4">
        <v>0.51496640000000005</v>
      </c>
      <c r="G16" s="2">
        <f t="shared" si="0"/>
        <v>0.6449460332930097</v>
      </c>
      <c r="I16" t="s">
        <v>14</v>
      </c>
      <c r="J16" s="3">
        <v>2.1005383700000002</v>
      </c>
      <c r="K16" s="2">
        <v>0.71647749999999999</v>
      </c>
      <c r="L16">
        <v>2.93175747</v>
      </c>
      <c r="M16">
        <v>634.94569999999999</v>
      </c>
      <c r="N16" s="4">
        <v>3.4917989999999999E-3</v>
      </c>
      <c r="O16" s="2">
        <f t="shared" si="1"/>
        <v>8.1705675171264467</v>
      </c>
      <c r="R16" t="s">
        <v>14</v>
      </c>
      <c r="S16" s="1">
        <v>0.82677480000000003</v>
      </c>
      <c r="T16">
        <v>0.74285632999999995</v>
      </c>
      <c r="U16">
        <v>1.1129672399999999</v>
      </c>
      <c r="V16">
        <v>589.95090000000005</v>
      </c>
      <c r="W16" s="4">
        <v>0.26617580000000002</v>
      </c>
      <c r="X16" s="2">
        <f t="shared" si="2"/>
        <v>2.2859342433039558</v>
      </c>
      <c r="Z16" t="s">
        <v>14</v>
      </c>
      <c r="AA16">
        <v>-0.43111738500000002</v>
      </c>
      <c r="AB16" s="1">
        <v>0.99236230000000003</v>
      </c>
      <c r="AC16">
        <v>-0.43443547999999998</v>
      </c>
      <c r="AD16">
        <v>664.94219999999996</v>
      </c>
      <c r="AE16" s="4">
        <v>0.66411319999999996</v>
      </c>
      <c r="AF16" s="2">
        <f t="shared" si="3"/>
        <v>0.64978263156361338</v>
      </c>
    </row>
    <row r="17" spans="1:32" x14ac:dyDescent="0.25">
      <c r="A17" t="s">
        <v>15</v>
      </c>
      <c r="B17" s="3">
        <v>-1.3515690869999999</v>
      </c>
      <c r="C17" s="3">
        <v>0.59934770000000004</v>
      </c>
      <c r="D17" s="2">
        <v>-2.2550667600000001</v>
      </c>
      <c r="E17" s="4">
        <v>636.94539999999995</v>
      </c>
      <c r="F17" s="4">
        <v>2.4467840000000001E-2</v>
      </c>
      <c r="G17" s="2">
        <f t="shared" si="0"/>
        <v>0.2588338090853568</v>
      </c>
      <c r="I17" s="3" t="s">
        <v>15</v>
      </c>
      <c r="J17" s="2">
        <v>1.0365673099999999</v>
      </c>
      <c r="K17" s="2">
        <v>0.63867680000000004</v>
      </c>
      <c r="L17">
        <v>1.62299186</v>
      </c>
      <c r="M17">
        <v>634.94569999999999</v>
      </c>
      <c r="N17" s="4">
        <v>0.1050875</v>
      </c>
      <c r="O17" s="2">
        <f t="shared" si="1"/>
        <v>2.819521839184131</v>
      </c>
      <c r="R17" t="s">
        <v>15</v>
      </c>
      <c r="S17" s="1">
        <v>0.73815589999999998</v>
      </c>
      <c r="T17">
        <v>0.57270310999999996</v>
      </c>
      <c r="U17">
        <v>1.2888980299999999</v>
      </c>
      <c r="V17">
        <v>589.95090000000005</v>
      </c>
      <c r="W17" s="4">
        <v>0.1979387</v>
      </c>
      <c r="X17" s="2">
        <f t="shared" si="2"/>
        <v>2.0920739614514021</v>
      </c>
      <c r="Z17" t="s">
        <v>15</v>
      </c>
      <c r="AA17">
        <v>-2.347970729</v>
      </c>
      <c r="AB17" s="1">
        <v>0.8154827</v>
      </c>
      <c r="AC17">
        <v>-2.8792403700000002</v>
      </c>
      <c r="AD17">
        <v>664.94219999999996</v>
      </c>
      <c r="AE17" s="4">
        <v>4.1144830000000004E-3</v>
      </c>
      <c r="AF17" s="2">
        <f t="shared" si="3"/>
        <v>9.5562888585901104E-2</v>
      </c>
    </row>
    <row r="18" spans="1:32" x14ac:dyDescent="0.25">
      <c r="A18" s="3" t="s">
        <v>16</v>
      </c>
      <c r="B18" s="3">
        <v>-2.6274909559999999</v>
      </c>
      <c r="C18" s="2">
        <v>0.75089653999999995</v>
      </c>
      <c r="D18" s="1">
        <v>-3.4991384299999999</v>
      </c>
      <c r="E18" s="4">
        <v>636.94539999999995</v>
      </c>
      <c r="F18" s="4">
        <v>4.9930139999999998E-4</v>
      </c>
      <c r="G18" s="2">
        <f t="shared" si="0"/>
        <v>7.2259537339679727E-2</v>
      </c>
      <c r="I18" t="s">
        <v>16</v>
      </c>
      <c r="J18" s="3">
        <v>0.89051988000000004</v>
      </c>
      <c r="K18" s="1">
        <v>0.77896089999999996</v>
      </c>
      <c r="L18">
        <v>1.1432151800000001</v>
      </c>
      <c r="M18">
        <v>634.94569999999999</v>
      </c>
      <c r="N18" s="4">
        <v>0.2533801</v>
      </c>
      <c r="O18" s="2">
        <f t="shared" si="1"/>
        <v>2.4363959556276158</v>
      </c>
      <c r="R18" t="s">
        <v>16</v>
      </c>
      <c r="S18" s="1">
        <v>-3.6406130000000001</v>
      </c>
      <c r="T18">
        <v>0.77459288999999998</v>
      </c>
      <c r="U18">
        <v>-4.7000341099999998</v>
      </c>
      <c r="V18">
        <v>589.95090000000005</v>
      </c>
      <c r="W18" s="4">
        <v>3.240747E-6</v>
      </c>
      <c r="X18" s="2">
        <f t="shared" si="2"/>
        <v>2.6236256210237813E-2</v>
      </c>
      <c r="Z18" t="s">
        <v>16</v>
      </c>
      <c r="AA18">
        <v>-2.937722736</v>
      </c>
      <c r="AB18" s="1">
        <v>0.93319319999999994</v>
      </c>
      <c r="AC18">
        <v>-3.1480326000000001</v>
      </c>
      <c r="AD18">
        <v>664.94219999999996</v>
      </c>
      <c r="AE18" s="4">
        <v>1.7172559999999999E-3</v>
      </c>
      <c r="AF18" s="2">
        <f t="shared" si="3"/>
        <v>5.2986255142373637E-2</v>
      </c>
    </row>
    <row r="19" spans="1:32" x14ac:dyDescent="0.25">
      <c r="A19" s="3" t="s">
        <v>132</v>
      </c>
      <c r="B19" s="3"/>
      <c r="C19" s="2"/>
      <c r="D19" s="1"/>
      <c r="I19" t="s">
        <v>17</v>
      </c>
      <c r="J19" s="3">
        <v>1.81881318</v>
      </c>
      <c r="K19" s="2">
        <v>0.83278059999999998</v>
      </c>
      <c r="L19">
        <v>2.1840245600000001</v>
      </c>
      <c r="M19">
        <v>634.94569999999999</v>
      </c>
      <c r="N19" s="4">
        <v>2.93256E-2</v>
      </c>
      <c r="O19" s="2">
        <f t="shared" si="1"/>
        <v>6.1645379097790398</v>
      </c>
      <c r="R19" t="s">
        <v>17</v>
      </c>
      <c r="S19" s="1">
        <v>1.0305009999999999</v>
      </c>
      <c r="T19">
        <v>0.73150484000000005</v>
      </c>
      <c r="U19">
        <v>1.40874111</v>
      </c>
      <c r="V19">
        <v>589.95090000000005</v>
      </c>
      <c r="W19" s="4">
        <v>0.15943850000000001</v>
      </c>
      <c r="X19" s="2">
        <f t="shared" si="2"/>
        <v>2.8024695202761394</v>
      </c>
      <c r="Z19" t="s">
        <v>17</v>
      </c>
      <c r="AA19">
        <v>-2.7972222960000002</v>
      </c>
      <c r="AB19" s="1">
        <v>0.88802219999999998</v>
      </c>
      <c r="AC19">
        <v>-3.1499464599999998</v>
      </c>
      <c r="AD19">
        <v>664.94219999999996</v>
      </c>
      <c r="AE19" s="4">
        <v>1.7062119999999999E-3</v>
      </c>
      <c r="AF19" s="2">
        <f t="shared" si="3"/>
        <v>6.0979209791035278E-2</v>
      </c>
    </row>
    <row r="20" spans="1:32" x14ac:dyDescent="0.25">
      <c r="A20" t="s">
        <v>127</v>
      </c>
      <c r="B20" s="3">
        <v>-0.82189900100000002</v>
      </c>
      <c r="C20" s="3">
        <v>1.05051651</v>
      </c>
      <c r="D20" s="2">
        <v>-0.78237608999999997</v>
      </c>
      <c r="E20" s="4">
        <v>636.94539999999995</v>
      </c>
      <c r="F20" s="4">
        <v>0.43428430000000001</v>
      </c>
      <c r="G20" s="2">
        <f t="shared" si="0"/>
        <v>0.43959606799457907</v>
      </c>
      <c r="I20" t="s">
        <v>127</v>
      </c>
      <c r="J20" s="3">
        <v>1.1368403199999999</v>
      </c>
      <c r="K20" s="2">
        <v>1.2422230000000001</v>
      </c>
      <c r="L20">
        <v>0.91516589000000004</v>
      </c>
      <c r="M20">
        <v>634.94569999999999</v>
      </c>
      <c r="N20" s="4">
        <v>0.36045199999999999</v>
      </c>
      <c r="O20" s="2">
        <f t="shared" si="1"/>
        <v>3.1169043694595486</v>
      </c>
      <c r="R20" t="s">
        <v>127</v>
      </c>
      <c r="S20" s="1">
        <v>1.7208730000000001</v>
      </c>
      <c r="T20">
        <v>1.1251616099999999</v>
      </c>
      <c r="U20">
        <v>1.5294454500000001</v>
      </c>
      <c r="V20">
        <v>589.95090000000005</v>
      </c>
      <c r="W20" s="4">
        <v>0.12669</v>
      </c>
      <c r="X20" s="2">
        <f t="shared" si="2"/>
        <v>5.5894058863103169</v>
      </c>
      <c r="Z20" t="s">
        <v>138</v>
      </c>
      <c r="AB20" s="1"/>
    </row>
    <row r="21" spans="1:32" x14ac:dyDescent="0.25">
      <c r="A21" t="s">
        <v>133</v>
      </c>
      <c r="B21" s="3"/>
      <c r="I21" t="s">
        <v>133</v>
      </c>
      <c r="R21" t="s">
        <v>136</v>
      </c>
      <c r="S21" s="1"/>
      <c r="Z21" t="s">
        <v>130</v>
      </c>
      <c r="AA21">
        <v>-1.085581672</v>
      </c>
      <c r="AB21" s="1">
        <v>0.91954570000000002</v>
      </c>
      <c r="AC21">
        <v>-1.18056304</v>
      </c>
      <c r="AD21">
        <v>664.94219999999996</v>
      </c>
      <c r="AE21" s="4">
        <v>0.23819850000000001</v>
      </c>
      <c r="AF21" s="2">
        <f t="shared" si="3"/>
        <v>0.33770529503926261</v>
      </c>
    </row>
    <row r="22" spans="1:32" x14ac:dyDescent="0.25">
      <c r="A22" t="s">
        <v>134</v>
      </c>
      <c r="B22" s="3"/>
      <c r="I22" t="s">
        <v>135</v>
      </c>
      <c r="R22" t="s">
        <v>129</v>
      </c>
      <c r="S22" s="1">
        <v>3.1405650000000001</v>
      </c>
      <c r="T22">
        <v>0.97035963000000003</v>
      </c>
      <c r="U22">
        <v>3.2364957699999999</v>
      </c>
      <c r="V22">
        <v>589.95090000000005</v>
      </c>
      <c r="W22" s="4">
        <v>1.2778749999999999E-3</v>
      </c>
      <c r="X22" s="2">
        <f t="shared" si="2"/>
        <v>23.116924231857919</v>
      </c>
      <c r="Z22" t="s">
        <v>129</v>
      </c>
      <c r="AA22">
        <v>-0.63267773100000002</v>
      </c>
      <c r="AB22" s="1">
        <v>0.96470999999999996</v>
      </c>
      <c r="AC22">
        <v>-0.65582167999999996</v>
      </c>
      <c r="AD22">
        <v>664.94219999999996</v>
      </c>
      <c r="AE22" s="4">
        <v>0.51216569999999995</v>
      </c>
      <c r="AF22" s="2">
        <f t="shared" si="3"/>
        <v>0.53116757113424184</v>
      </c>
    </row>
    <row r="23" spans="1:32" x14ac:dyDescent="0.25">
      <c r="B23" s="3"/>
      <c r="S23" s="1"/>
      <c r="AB23" s="1"/>
    </row>
    <row r="24" spans="1:32" x14ac:dyDescent="0.25">
      <c r="B24" s="3"/>
      <c r="S24" s="1"/>
      <c r="AB24" s="1"/>
    </row>
    <row r="25" spans="1:32" x14ac:dyDescent="0.25">
      <c r="A25" t="s">
        <v>82</v>
      </c>
      <c r="B25" s="3">
        <v>1.2588607030000001</v>
      </c>
      <c r="C25" s="3">
        <v>0.97797721000000004</v>
      </c>
      <c r="D25" s="2">
        <v>1.2872086300000001</v>
      </c>
      <c r="E25" s="4">
        <v>636.94539999999995</v>
      </c>
      <c r="F25" s="4">
        <v>0.1984891</v>
      </c>
      <c r="G25" s="2">
        <f t="shared" si="0"/>
        <v>3.5214072723668477</v>
      </c>
      <c r="S25" s="1"/>
      <c r="AB25" s="1"/>
    </row>
    <row r="26" spans="1:32" x14ac:dyDescent="0.25">
      <c r="A26" t="s">
        <v>83</v>
      </c>
      <c r="B26" s="3">
        <v>0.25822588899999999</v>
      </c>
      <c r="C26" s="3">
        <v>0.43253846000000001</v>
      </c>
      <c r="D26" s="2">
        <v>0.59700098999999995</v>
      </c>
      <c r="E26" s="4">
        <v>636.94539999999995</v>
      </c>
      <c r="F26" s="4">
        <v>0.55071890000000001</v>
      </c>
      <c r="G26" s="2">
        <f t="shared" si="0"/>
        <v>1.2946312285504875</v>
      </c>
      <c r="I26" t="s">
        <v>83</v>
      </c>
      <c r="J26" s="3">
        <v>6.8311150000000001E-2</v>
      </c>
      <c r="K26" s="2">
        <v>0.43653930000000002</v>
      </c>
      <c r="L26">
        <v>0.15648340999999999</v>
      </c>
      <c r="M26">
        <v>634.94569999999999</v>
      </c>
      <c r="N26" s="4">
        <v>0.87570170000000003</v>
      </c>
      <c r="O26" s="2">
        <f t="shared" si="1"/>
        <v>1.0706984044632279</v>
      </c>
      <c r="S26" s="1"/>
      <c r="AB26" s="1"/>
    </row>
    <row r="27" spans="1:32" x14ac:dyDescent="0.25">
      <c r="A27" t="s">
        <v>84</v>
      </c>
      <c r="B27" s="3">
        <v>-0.86085906199999995</v>
      </c>
      <c r="C27" s="3">
        <v>0.65867341999999995</v>
      </c>
      <c r="D27" s="2">
        <v>-1.3069588599999999</v>
      </c>
      <c r="E27" s="4">
        <v>636.94539999999995</v>
      </c>
      <c r="F27" s="4">
        <v>0.19169829999999999</v>
      </c>
      <c r="G27" s="2">
        <f t="shared" si="0"/>
        <v>0.42279871595245372</v>
      </c>
      <c r="I27" t="s">
        <v>84</v>
      </c>
      <c r="J27" s="3">
        <v>2.2579120000000001E-2</v>
      </c>
      <c r="K27" s="2">
        <v>0.56432450000000001</v>
      </c>
      <c r="L27">
        <v>4.0010879999999999E-2</v>
      </c>
      <c r="M27">
        <v>634.94569999999999</v>
      </c>
      <c r="N27" s="4">
        <v>0.96809699999999999</v>
      </c>
      <c r="O27" s="2">
        <f t="shared" si="1"/>
        <v>1.0228359577440436</v>
      </c>
      <c r="S27" s="1"/>
      <c r="AB27" s="1"/>
    </row>
    <row r="28" spans="1:32" x14ac:dyDescent="0.25">
      <c r="A28" t="s">
        <v>85</v>
      </c>
      <c r="B28" s="3">
        <v>-3.5531069999999998E-2</v>
      </c>
      <c r="C28" s="3">
        <v>0.41259172999999999</v>
      </c>
      <c r="D28" s="2">
        <v>-8.6116780000000004E-2</v>
      </c>
      <c r="E28" s="4">
        <v>636.94539999999995</v>
      </c>
      <c r="F28" s="4">
        <v>0.93140060000000002</v>
      </c>
      <c r="G28" s="2">
        <f t="shared" si="0"/>
        <v>0.96509274833248127</v>
      </c>
      <c r="I28" t="s">
        <v>85</v>
      </c>
      <c r="J28" s="3">
        <v>8.4953119999999993E-2</v>
      </c>
      <c r="K28" s="2">
        <v>0.4503183</v>
      </c>
      <c r="L28">
        <v>0.18865127000000001</v>
      </c>
      <c r="M28">
        <v>634.94569999999999</v>
      </c>
      <c r="N28" s="4">
        <v>0.85042640000000003</v>
      </c>
      <c r="O28" s="2">
        <f t="shared" si="1"/>
        <v>1.0886660288386487</v>
      </c>
      <c r="S28" s="1"/>
      <c r="AB28" s="1"/>
    </row>
    <row r="29" spans="1:32" x14ac:dyDescent="0.25">
      <c r="A29" t="s">
        <v>86</v>
      </c>
      <c r="B29" s="3">
        <v>0.56896896299999999</v>
      </c>
      <c r="C29" s="3">
        <v>0.38872428999999997</v>
      </c>
      <c r="D29" s="2">
        <v>1.46368257</v>
      </c>
      <c r="E29" s="4">
        <v>636.94539999999995</v>
      </c>
      <c r="F29" s="4">
        <v>0.14377400000000001</v>
      </c>
      <c r="G29" s="2">
        <f t="shared" si="0"/>
        <v>1.7664448422218086</v>
      </c>
      <c r="I29" t="s">
        <v>86</v>
      </c>
      <c r="J29" s="3">
        <v>0.33279050999999998</v>
      </c>
      <c r="K29" s="2">
        <v>0.45820420000000001</v>
      </c>
      <c r="L29">
        <v>0.72629297000000004</v>
      </c>
      <c r="M29">
        <v>634.94569999999999</v>
      </c>
      <c r="N29" s="4">
        <v>0.46792679999999998</v>
      </c>
      <c r="O29" s="2">
        <f t="shared" si="1"/>
        <v>1.3948550596738687</v>
      </c>
      <c r="S29" s="1"/>
      <c r="AB29" s="1"/>
    </row>
    <row r="30" spans="1:32" x14ac:dyDescent="0.25">
      <c r="A30" t="s">
        <v>81</v>
      </c>
      <c r="B30" s="3">
        <v>1.3265233320000001</v>
      </c>
      <c r="C30" s="3">
        <v>0.51328244000000001</v>
      </c>
      <c r="D30" s="2">
        <v>2.5843925900000002</v>
      </c>
      <c r="E30" s="4">
        <v>636.94539999999995</v>
      </c>
      <c r="F30" s="4">
        <v>9.9764320000000004E-3</v>
      </c>
      <c r="G30" s="2">
        <f t="shared" si="0"/>
        <v>3.7679207797100038</v>
      </c>
      <c r="I30" t="s">
        <v>81</v>
      </c>
      <c r="J30" s="3">
        <v>0.4385558</v>
      </c>
      <c r="K30" s="2">
        <v>0.50843090000000002</v>
      </c>
      <c r="L30">
        <v>0.86256714000000001</v>
      </c>
      <c r="M30">
        <v>634.94569999999999</v>
      </c>
      <c r="N30" s="4">
        <v>0.38870120000000002</v>
      </c>
      <c r="O30" s="2">
        <f t="shared" si="1"/>
        <v>1.5504664172184481</v>
      </c>
      <c r="S30" s="1"/>
      <c r="AB30" s="1"/>
    </row>
    <row r="31" spans="1:32" x14ac:dyDescent="0.25">
      <c r="B31" s="3"/>
      <c r="S31" s="1"/>
      <c r="AB31" s="1"/>
    </row>
    <row r="32" spans="1:32" x14ac:dyDescent="0.25">
      <c r="A32" t="s">
        <v>19</v>
      </c>
      <c r="B32" s="3">
        <v>0.64584749299999999</v>
      </c>
      <c r="C32" s="3">
        <v>0.40573333</v>
      </c>
      <c r="D32" s="2">
        <v>1.59180291</v>
      </c>
      <c r="E32" s="4">
        <v>636.94539999999995</v>
      </c>
      <c r="F32" s="4">
        <v>0.1119251</v>
      </c>
      <c r="G32" s="2">
        <f t="shared" si="0"/>
        <v>1.9076030246129678</v>
      </c>
      <c r="I32" t="s">
        <v>19</v>
      </c>
      <c r="J32" s="3">
        <v>-0.10308943</v>
      </c>
      <c r="K32" s="2">
        <v>0.35957610000000001</v>
      </c>
      <c r="L32">
        <v>-0.28669710999999998</v>
      </c>
      <c r="M32">
        <v>634.94569999999999</v>
      </c>
      <c r="N32" s="4">
        <v>0.77443779999999995</v>
      </c>
      <c r="O32" s="2">
        <f t="shared" si="1"/>
        <v>0.90204629987365215</v>
      </c>
      <c r="R32" t="s">
        <v>19</v>
      </c>
      <c r="S32" s="1">
        <v>-0.51359200000000005</v>
      </c>
      <c r="T32">
        <v>0.55768684999999996</v>
      </c>
      <c r="U32">
        <v>-0.92093252000000003</v>
      </c>
      <c r="V32">
        <v>589.95090000000005</v>
      </c>
      <c r="W32" s="4">
        <v>0.3574621</v>
      </c>
      <c r="X32" s="2">
        <f t="shared" si="2"/>
        <v>0.59834246799523538</v>
      </c>
      <c r="Z32" t="s">
        <v>19</v>
      </c>
      <c r="AA32">
        <v>0.34441667999999998</v>
      </c>
      <c r="AB32" s="1">
        <v>0.33395140000000001</v>
      </c>
      <c r="AC32">
        <v>1.0313378900000001</v>
      </c>
      <c r="AD32">
        <v>664.94219999999996</v>
      </c>
      <c r="AE32" s="4">
        <v>0.30275740000000001</v>
      </c>
      <c r="AF32" s="2">
        <f t="shared" si="3"/>
        <v>1.4111665178844304</v>
      </c>
    </row>
    <row r="33" spans="1:32" x14ac:dyDescent="0.25">
      <c r="A33" t="s">
        <v>20</v>
      </c>
      <c r="B33" s="3">
        <v>0.48344968300000002</v>
      </c>
      <c r="C33" s="3">
        <v>0.33755411000000002</v>
      </c>
      <c r="D33" s="2">
        <v>1.4322138600000001</v>
      </c>
      <c r="E33" s="4">
        <v>636.94539999999995</v>
      </c>
      <c r="F33" s="4">
        <v>0.15257319999999999</v>
      </c>
      <c r="G33" s="2">
        <f t="shared" si="0"/>
        <v>1.6216589735471272</v>
      </c>
      <c r="I33" t="s">
        <v>20</v>
      </c>
      <c r="J33" s="3">
        <v>0.28584396000000001</v>
      </c>
      <c r="K33" s="2">
        <v>0.33693279999999998</v>
      </c>
      <c r="L33">
        <v>0.84837079000000004</v>
      </c>
      <c r="M33">
        <v>634.94569999999999</v>
      </c>
      <c r="N33" s="4">
        <v>0.39655119999999999</v>
      </c>
      <c r="O33" s="2">
        <f t="shared" si="1"/>
        <v>1.3308847677897715</v>
      </c>
      <c r="R33" t="s">
        <v>20</v>
      </c>
      <c r="S33" s="1">
        <v>0.83390330000000001</v>
      </c>
      <c r="T33">
        <v>0.36922321000000002</v>
      </c>
      <c r="U33">
        <v>2.25853445</v>
      </c>
      <c r="V33">
        <v>589.95090000000005</v>
      </c>
      <c r="W33" s="4">
        <v>2.427675E-2</v>
      </c>
      <c r="X33" s="2">
        <f t="shared" si="2"/>
        <v>2.302287744272272</v>
      </c>
      <c r="Z33" t="s">
        <v>20</v>
      </c>
      <c r="AA33">
        <v>0.51593177199999996</v>
      </c>
      <c r="AB33" s="1">
        <v>0.33805560000000001</v>
      </c>
      <c r="AC33">
        <v>1.5261744900000001</v>
      </c>
      <c r="AD33">
        <v>664.94219999999996</v>
      </c>
      <c r="AE33" s="4">
        <v>0.1274419</v>
      </c>
      <c r="AF33" s="2">
        <f t="shared" si="3"/>
        <v>1.6751986780430179</v>
      </c>
    </row>
    <row r="34" spans="1:32" x14ac:dyDescent="0.25">
      <c r="A34" t="s">
        <v>21</v>
      </c>
      <c r="B34" s="3">
        <v>0.377824204</v>
      </c>
      <c r="C34" s="3">
        <v>0.33495145999999998</v>
      </c>
      <c r="D34" s="2">
        <v>1.1279968899999999</v>
      </c>
      <c r="E34" s="4">
        <v>636.94539999999995</v>
      </c>
      <c r="F34" s="4">
        <v>0.25974589999999997</v>
      </c>
      <c r="G34" s="2">
        <f t="shared" si="0"/>
        <v>1.4591064152568161</v>
      </c>
      <c r="H34" s="3"/>
      <c r="I34" t="s">
        <v>21</v>
      </c>
      <c r="J34" s="3">
        <v>-1.36477E-2</v>
      </c>
      <c r="K34" s="2">
        <v>0.26808939999999998</v>
      </c>
      <c r="L34">
        <v>-5.0907290000000001E-2</v>
      </c>
      <c r="M34">
        <v>634.94569999999999</v>
      </c>
      <c r="N34" s="4">
        <v>0.95941540000000003</v>
      </c>
      <c r="O34" s="2">
        <f t="shared" si="1"/>
        <v>0.98644500762978404</v>
      </c>
      <c r="R34" t="s">
        <v>21</v>
      </c>
      <c r="S34" s="1">
        <v>0.46638689999999999</v>
      </c>
      <c r="T34">
        <v>0.36069633000000001</v>
      </c>
      <c r="U34">
        <v>1.29301814</v>
      </c>
      <c r="V34">
        <v>589.95090000000005</v>
      </c>
      <c r="W34" s="4">
        <v>0.19651089999999999</v>
      </c>
      <c r="X34" s="2">
        <f t="shared" si="2"/>
        <v>1.5942236851867153</v>
      </c>
      <c r="Z34" t="s">
        <v>21</v>
      </c>
      <c r="AA34">
        <v>0.83528149100000004</v>
      </c>
      <c r="AB34" s="1">
        <v>0.33453949999999999</v>
      </c>
      <c r="AC34">
        <v>2.4968096100000001</v>
      </c>
      <c r="AD34">
        <v>664.94219999999996</v>
      </c>
      <c r="AE34" s="4">
        <v>1.2772459999999999E-2</v>
      </c>
      <c r="AF34" s="2">
        <f t="shared" si="3"/>
        <v>2.3054629240203339</v>
      </c>
    </row>
    <row r="35" spans="1:32" x14ac:dyDescent="0.25">
      <c r="A35" t="s">
        <v>23</v>
      </c>
      <c r="B35" s="3">
        <v>6.2780428999999999E-2</v>
      </c>
      <c r="C35" s="3">
        <v>3.9732429999999999E-2</v>
      </c>
      <c r="D35" s="2">
        <v>1.5800803699999999</v>
      </c>
      <c r="E35" s="4">
        <v>636.94539999999995</v>
      </c>
      <c r="F35" s="4">
        <v>0.1145849</v>
      </c>
      <c r="G35" s="2">
        <f t="shared" si="0"/>
        <v>1.06479301589454</v>
      </c>
      <c r="H35" s="2"/>
      <c r="I35" t="s">
        <v>23</v>
      </c>
      <c r="J35" s="3">
        <v>1.4089549999999999E-2</v>
      </c>
      <c r="K35" s="2">
        <v>3.7273559999999997E-2</v>
      </c>
      <c r="L35">
        <v>0.37800382999999999</v>
      </c>
      <c r="M35">
        <v>634.94569999999999</v>
      </c>
      <c r="N35" s="4">
        <v>0.70555409999999996</v>
      </c>
      <c r="O35" s="2">
        <f t="shared" si="1"/>
        <v>1.0141892755217421</v>
      </c>
      <c r="R35" t="s">
        <v>23</v>
      </c>
      <c r="S35" s="1">
        <v>3.0500200000000002E-2</v>
      </c>
      <c r="T35">
        <v>3.9464109999999997E-2</v>
      </c>
      <c r="U35">
        <v>0.77285914</v>
      </c>
      <c r="V35">
        <v>589.95090000000005</v>
      </c>
      <c r="W35" s="4">
        <v>0.43991530000000001</v>
      </c>
      <c r="X35" s="2">
        <f t="shared" si="2"/>
        <v>1.0309700962427795</v>
      </c>
      <c r="Z35" t="s">
        <v>23</v>
      </c>
      <c r="AA35">
        <v>4.1024336000000002E-2</v>
      </c>
      <c r="AB35" s="1">
        <v>3.7070730000000003E-2</v>
      </c>
      <c r="AC35">
        <v>1.10665028</v>
      </c>
      <c r="AD35">
        <v>664.94219999999996</v>
      </c>
      <c r="AE35" s="4">
        <v>0.26884530000000001</v>
      </c>
      <c r="AF35" s="2">
        <f t="shared" si="3"/>
        <v>1.0418774603668364</v>
      </c>
    </row>
    <row r="36" spans="1:32" x14ac:dyDescent="0.25">
      <c r="B36" s="3"/>
      <c r="H36" s="2"/>
      <c r="S36" s="1"/>
      <c r="AB36" s="1"/>
    </row>
    <row r="37" spans="1:32" x14ac:dyDescent="0.25">
      <c r="A37" t="s">
        <v>30</v>
      </c>
      <c r="B37" s="3">
        <v>0.194872926</v>
      </c>
      <c r="C37" s="3">
        <v>0.36586005999999999</v>
      </c>
      <c r="D37" s="2">
        <v>0.53264334000000002</v>
      </c>
      <c r="E37" s="4">
        <v>636.94539999999995</v>
      </c>
      <c r="F37" s="4">
        <v>0.5944663</v>
      </c>
      <c r="G37" s="2">
        <f t="shared" si="0"/>
        <v>1.2151565618733182</v>
      </c>
      <c r="I37" t="s">
        <v>30</v>
      </c>
      <c r="J37">
        <v>-0.24232936999999999</v>
      </c>
      <c r="K37" s="2">
        <v>0.3356555</v>
      </c>
      <c r="L37">
        <v>-0.72195865999999997</v>
      </c>
      <c r="M37">
        <v>634.94569999999999</v>
      </c>
      <c r="N37" s="4">
        <v>0.4705857</v>
      </c>
      <c r="O37" s="2">
        <f t="shared" si="1"/>
        <v>0.78479764617720593</v>
      </c>
      <c r="R37" t="s">
        <v>30</v>
      </c>
      <c r="S37" s="1">
        <v>-1.545444E-2</v>
      </c>
      <c r="T37">
        <v>0.37408070999999998</v>
      </c>
      <c r="U37">
        <v>-4.131311E-2</v>
      </c>
      <c r="V37">
        <v>589.95090000000005</v>
      </c>
      <c r="W37" s="4">
        <v>0.96706029999999998</v>
      </c>
      <c r="X37" s="2">
        <f t="shared" si="2"/>
        <v>0.98466436703837013</v>
      </c>
      <c r="Z37" t="s">
        <v>30</v>
      </c>
      <c r="AA37">
        <v>-0.38471295799999999</v>
      </c>
      <c r="AB37" s="1">
        <v>0.38126019999999999</v>
      </c>
      <c r="AC37">
        <v>-1.00905606</v>
      </c>
      <c r="AD37">
        <v>664.94219999999996</v>
      </c>
      <c r="AE37" s="4">
        <v>0.3133148</v>
      </c>
      <c r="AF37" s="2">
        <f t="shared" si="3"/>
        <v>0.68064598215100935</v>
      </c>
    </row>
    <row r="38" spans="1:32" x14ac:dyDescent="0.25">
      <c r="A38" s="2" t="s">
        <v>31</v>
      </c>
      <c r="B38">
        <v>0.187752108</v>
      </c>
      <c r="C38">
        <v>0.47536567000000002</v>
      </c>
      <c r="D38">
        <v>0.39496354</v>
      </c>
      <c r="E38" s="4">
        <v>636.94539999999995</v>
      </c>
      <c r="F38" s="4">
        <v>0.69300200000000001</v>
      </c>
      <c r="G38" s="2">
        <f t="shared" si="0"/>
        <v>1.206534388052982</v>
      </c>
      <c r="I38" t="s">
        <v>31</v>
      </c>
      <c r="J38">
        <v>-0.66080046000000003</v>
      </c>
      <c r="K38" s="1">
        <v>0.46358260000000001</v>
      </c>
      <c r="L38">
        <v>-1.42542111</v>
      </c>
      <c r="M38">
        <v>634.94569999999999</v>
      </c>
      <c r="N38" s="4">
        <v>0.15452689999999999</v>
      </c>
      <c r="O38" s="2">
        <f t="shared" si="1"/>
        <v>0.51643778121100303</v>
      </c>
      <c r="R38" t="s">
        <v>31</v>
      </c>
      <c r="S38" s="1">
        <v>6.2054869999999998E-2</v>
      </c>
      <c r="T38">
        <v>0.52703173999999997</v>
      </c>
      <c r="U38">
        <v>0.11774408</v>
      </c>
      <c r="V38">
        <v>589.95090000000005</v>
      </c>
      <c r="W38" s="4">
        <v>0.90631050000000002</v>
      </c>
      <c r="X38" s="2">
        <f t="shared" si="2"/>
        <v>1.0640207259435628</v>
      </c>
      <c r="Z38" t="s">
        <v>31</v>
      </c>
      <c r="AA38">
        <v>1.7940368000000002E-2</v>
      </c>
      <c r="AB38" s="1">
        <v>0.51320259999999995</v>
      </c>
      <c r="AC38">
        <v>3.4957670000000003E-2</v>
      </c>
      <c r="AD38">
        <v>664.94219999999996</v>
      </c>
      <c r="AE38" s="4">
        <v>0.97212399999999999</v>
      </c>
      <c r="AF38" s="2">
        <f t="shared" si="3"/>
        <v>1.0181022631054311</v>
      </c>
    </row>
    <row r="39" spans="1:32" x14ac:dyDescent="0.25">
      <c r="A39" s="1" t="s">
        <v>32</v>
      </c>
      <c r="B39">
        <v>0.40939635200000002</v>
      </c>
      <c r="C39">
        <v>0.70898019999999995</v>
      </c>
      <c r="D39">
        <v>0.57744397999999997</v>
      </c>
      <c r="E39" s="4">
        <v>636.94539999999995</v>
      </c>
      <c r="F39" s="4">
        <v>0.5638436</v>
      </c>
      <c r="G39" s="2">
        <f t="shared" si="0"/>
        <v>1.5059084720506235</v>
      </c>
      <c r="I39" t="s">
        <v>32</v>
      </c>
      <c r="J39" s="3">
        <v>0.18276753000000001</v>
      </c>
      <c r="K39" s="1">
        <v>0.70964139999999998</v>
      </c>
      <c r="L39">
        <v>0.25754915</v>
      </c>
      <c r="M39">
        <v>634.94569999999999</v>
      </c>
      <c r="N39" s="4">
        <v>0.7968383</v>
      </c>
      <c r="O39" s="2">
        <f t="shared" si="1"/>
        <v>1.2005352872002568</v>
      </c>
      <c r="R39" t="s">
        <v>32</v>
      </c>
      <c r="S39" s="1">
        <v>1.8587579999999999</v>
      </c>
      <c r="T39">
        <v>0.89313297000000003</v>
      </c>
      <c r="U39">
        <v>2.0811660199999999</v>
      </c>
      <c r="V39">
        <v>589.95090000000005</v>
      </c>
      <c r="W39" s="4">
        <v>3.7849420000000002E-2</v>
      </c>
      <c r="X39" s="2">
        <f t="shared" si="2"/>
        <v>6.4157634428210315</v>
      </c>
      <c r="Z39" t="s">
        <v>32</v>
      </c>
      <c r="AA39">
        <v>0.91296690999999996</v>
      </c>
      <c r="AB39" s="1">
        <v>0.90287399999999995</v>
      </c>
      <c r="AC39">
        <v>1.0111786899999999</v>
      </c>
      <c r="AD39">
        <v>664.94219999999996</v>
      </c>
      <c r="AE39" s="4">
        <v>0.31229869999999998</v>
      </c>
      <c r="AF39" s="2">
        <f t="shared" si="3"/>
        <v>2.4917042397667597</v>
      </c>
    </row>
    <row r="40" spans="1:32" x14ac:dyDescent="0.25">
      <c r="A40" t="s">
        <v>33</v>
      </c>
      <c r="B40">
        <v>-0.80869039300000001</v>
      </c>
      <c r="C40" s="3">
        <v>0.32653553000000002</v>
      </c>
      <c r="D40" s="2">
        <v>-2.4765769999999998</v>
      </c>
      <c r="E40" s="4">
        <v>636.94539999999995</v>
      </c>
      <c r="F40" s="4">
        <v>1.3523510000000001E-2</v>
      </c>
      <c r="G40" s="2">
        <f t="shared" si="0"/>
        <v>0.44544103710852978</v>
      </c>
      <c r="I40" s="2" t="s">
        <v>33</v>
      </c>
      <c r="J40">
        <v>-0.39006632000000002</v>
      </c>
      <c r="K40" s="2">
        <v>0.27650140000000001</v>
      </c>
      <c r="L40">
        <v>-1.41072077</v>
      </c>
      <c r="M40">
        <v>634.94569999999999</v>
      </c>
      <c r="N40" s="4">
        <v>0.15881670000000001</v>
      </c>
      <c r="O40" s="2">
        <f t="shared" si="1"/>
        <v>0.67701197357517906</v>
      </c>
      <c r="R40" t="s">
        <v>33</v>
      </c>
      <c r="S40" s="1">
        <v>-0.38805339999999999</v>
      </c>
      <c r="T40">
        <v>0.3500297</v>
      </c>
      <c r="U40">
        <v>-1.10862993</v>
      </c>
      <c r="V40">
        <v>589.95090000000005</v>
      </c>
      <c r="W40" s="4">
        <v>0.26804159999999999</v>
      </c>
      <c r="X40" s="2">
        <f t="shared" si="2"/>
        <v>0.67837611701222333</v>
      </c>
      <c r="Z40" t="s">
        <v>33</v>
      </c>
      <c r="AA40">
        <v>-0.56385266899999997</v>
      </c>
      <c r="AB40" s="1">
        <v>0.29812899999999998</v>
      </c>
      <c r="AC40">
        <v>-1.89130452</v>
      </c>
      <c r="AD40">
        <v>664.94219999999996</v>
      </c>
      <c r="AE40" s="4">
        <v>5.9018069999999999E-2</v>
      </c>
      <c r="AF40" s="2">
        <f t="shared" si="3"/>
        <v>0.56901261820186289</v>
      </c>
    </row>
    <row r="41" spans="1:32" x14ac:dyDescent="0.25">
      <c r="A41" s="3" t="s">
        <v>34</v>
      </c>
      <c r="B41" s="2">
        <v>0.41560804000000001</v>
      </c>
      <c r="C41" s="1">
        <v>0.29826907000000003</v>
      </c>
      <c r="D41">
        <v>1.3933997</v>
      </c>
      <c r="E41" s="4">
        <v>636.94539999999995</v>
      </c>
      <c r="F41" s="4">
        <v>0.16398499999999999</v>
      </c>
      <c r="G41" s="2">
        <f t="shared" si="0"/>
        <v>1.5152918186749691</v>
      </c>
      <c r="I41" t="s">
        <v>34</v>
      </c>
      <c r="J41" s="3">
        <v>0.48255333</v>
      </c>
      <c r="K41" s="1">
        <v>0.29835329999999999</v>
      </c>
      <c r="L41">
        <v>1.6173891</v>
      </c>
      <c r="M41">
        <v>634.94569999999999</v>
      </c>
      <c r="N41" s="4">
        <v>0.106291</v>
      </c>
      <c r="O41" s="2">
        <f t="shared" si="1"/>
        <v>1.6202060459265064</v>
      </c>
      <c r="R41" t="s">
        <v>34</v>
      </c>
      <c r="S41" s="1">
        <v>0.1049054</v>
      </c>
      <c r="T41">
        <v>0.38569673999999998</v>
      </c>
      <c r="U41">
        <v>0.27198936000000001</v>
      </c>
      <c r="V41">
        <v>589.95090000000005</v>
      </c>
      <c r="W41" s="4">
        <v>0.78572540000000002</v>
      </c>
      <c r="X41" s="2">
        <f t="shared" si="2"/>
        <v>1.1106055421017724</v>
      </c>
      <c r="Z41" t="s">
        <v>34</v>
      </c>
      <c r="AA41">
        <v>-0.21042038800000001</v>
      </c>
      <c r="AB41" s="1">
        <v>0.33030019999999999</v>
      </c>
      <c r="AC41">
        <v>-0.63705800000000001</v>
      </c>
      <c r="AD41">
        <v>664.94219999999996</v>
      </c>
      <c r="AE41" s="4">
        <v>0.5243063</v>
      </c>
      <c r="AF41" s="2">
        <f t="shared" si="3"/>
        <v>0.81024355769584067</v>
      </c>
    </row>
    <row r="42" spans="1:32" x14ac:dyDescent="0.25">
      <c r="A42" s="3"/>
      <c r="B42" s="2"/>
      <c r="C42" s="1"/>
      <c r="D42"/>
      <c r="K42" s="1"/>
      <c r="S42" s="1"/>
      <c r="AB42" s="1"/>
    </row>
    <row r="43" spans="1:32" x14ac:dyDescent="0.25">
      <c r="A43" t="s">
        <v>35</v>
      </c>
      <c r="B43">
        <v>-3.0372776000000001E-2</v>
      </c>
      <c r="C43" s="3">
        <v>0.53707916</v>
      </c>
      <c r="D43" s="2">
        <v>-5.6551770000000001E-2</v>
      </c>
      <c r="E43" s="4">
        <v>636.94539999999995</v>
      </c>
      <c r="F43" s="4">
        <v>0.95491999999999999</v>
      </c>
      <c r="G43" s="2">
        <f t="shared" si="0"/>
        <v>0.97008384216341648</v>
      </c>
      <c r="I43" s="3" t="s">
        <v>35</v>
      </c>
      <c r="J43" s="2">
        <v>-0.65526662000000002</v>
      </c>
      <c r="K43" s="2">
        <v>0.49834299999999998</v>
      </c>
      <c r="L43">
        <v>-1.31489075</v>
      </c>
      <c r="M43">
        <v>634.94569999999999</v>
      </c>
      <c r="N43" s="4">
        <v>0.1890213</v>
      </c>
      <c r="O43" s="2">
        <f t="shared" si="1"/>
        <v>0.51930358740526794</v>
      </c>
      <c r="R43" t="s">
        <v>35</v>
      </c>
      <c r="S43" s="1">
        <v>0.13869699999999999</v>
      </c>
      <c r="T43">
        <v>0.52939058000000005</v>
      </c>
      <c r="U43">
        <v>0.26199376000000002</v>
      </c>
      <c r="V43">
        <v>589.95090000000005</v>
      </c>
      <c r="W43" s="4">
        <v>0.7934177</v>
      </c>
      <c r="X43" s="2">
        <f t="shared" si="2"/>
        <v>1.148775968145944</v>
      </c>
      <c r="Z43" t="s">
        <v>35</v>
      </c>
      <c r="AA43">
        <v>-0.94773060799999997</v>
      </c>
      <c r="AB43" s="1">
        <v>0.47792620000000002</v>
      </c>
      <c r="AC43">
        <v>-1.9830060899999999</v>
      </c>
      <c r="AD43">
        <v>664.94219999999996</v>
      </c>
      <c r="AE43" s="4">
        <v>4.7777769999999997E-2</v>
      </c>
      <c r="AF43" s="2">
        <f t="shared" si="3"/>
        <v>0.38761968707819644</v>
      </c>
    </row>
    <row r="44" spans="1:32" x14ac:dyDescent="0.25">
      <c r="A44" t="s">
        <v>36</v>
      </c>
      <c r="B44" s="3">
        <v>-0.30326381299999999</v>
      </c>
      <c r="C44" s="2">
        <v>0.63706689000000005</v>
      </c>
      <c r="D44">
        <v>-0.47603135000000002</v>
      </c>
      <c r="E44" s="4">
        <v>636.94539999999995</v>
      </c>
      <c r="F44" s="4">
        <v>0.63421530000000004</v>
      </c>
      <c r="G44" s="2">
        <f t="shared" si="0"/>
        <v>0.73840427002706277</v>
      </c>
      <c r="I44" s="3" t="s">
        <v>36</v>
      </c>
      <c r="J44" s="2">
        <v>-0.41631881999999998</v>
      </c>
      <c r="K44" s="1">
        <v>0.57526759999999999</v>
      </c>
      <c r="L44">
        <v>-0.72369600000000001</v>
      </c>
      <c r="M44">
        <v>634.94569999999999</v>
      </c>
      <c r="N44" s="4">
        <v>0.46951890000000002</v>
      </c>
      <c r="O44" s="2">
        <f t="shared" si="1"/>
        <v>0.65946998474398433</v>
      </c>
      <c r="R44" t="s">
        <v>36</v>
      </c>
      <c r="S44" s="1">
        <v>-0.25014950000000002</v>
      </c>
      <c r="T44">
        <v>0.63723883000000003</v>
      </c>
      <c r="U44">
        <v>-0.39255213999999999</v>
      </c>
      <c r="V44">
        <v>589.95090000000005</v>
      </c>
      <c r="W44" s="4">
        <v>0.69479210000000002</v>
      </c>
      <c r="X44" s="2">
        <f t="shared" si="2"/>
        <v>0.77868436105709804</v>
      </c>
      <c r="Z44" t="s">
        <v>36</v>
      </c>
      <c r="AA44">
        <v>-0.10129715</v>
      </c>
      <c r="AB44" s="1">
        <v>0.58314679999999997</v>
      </c>
      <c r="AC44">
        <v>-0.17370782000000001</v>
      </c>
      <c r="AD44">
        <v>664.94219999999996</v>
      </c>
      <c r="AE44" s="4">
        <v>0.86214800000000003</v>
      </c>
      <c r="AF44" s="2">
        <f t="shared" si="3"/>
        <v>0.90366446908898435</v>
      </c>
    </row>
    <row r="45" spans="1:32" x14ac:dyDescent="0.25">
      <c r="A45" t="s">
        <v>37</v>
      </c>
      <c r="B45" s="3">
        <v>4.8774014999999997E-2</v>
      </c>
      <c r="C45" s="2">
        <v>0.75334193000000005</v>
      </c>
      <c r="D45" s="1">
        <v>6.4743529999999994E-2</v>
      </c>
      <c r="E45" s="4">
        <v>636.94539999999995</v>
      </c>
      <c r="F45" s="4">
        <v>0.94839850000000003</v>
      </c>
      <c r="G45" s="2">
        <f t="shared" si="0"/>
        <v>1.0499830435090134</v>
      </c>
      <c r="H45" s="3"/>
      <c r="I45" t="s">
        <v>37</v>
      </c>
      <c r="J45" s="3">
        <v>-0.58836116000000005</v>
      </c>
      <c r="K45" s="1">
        <v>0.67783230000000005</v>
      </c>
      <c r="L45">
        <v>-0.86800407999999996</v>
      </c>
      <c r="M45">
        <v>634.94569999999999</v>
      </c>
      <c r="N45" s="4">
        <v>0.38572000000000001</v>
      </c>
      <c r="O45" s="2">
        <f t="shared" si="1"/>
        <v>0.55523648327379482</v>
      </c>
      <c r="R45" t="s">
        <v>37</v>
      </c>
      <c r="S45" s="1">
        <v>1.9728300000000001E-2</v>
      </c>
      <c r="T45">
        <v>0.76180439</v>
      </c>
      <c r="U45">
        <v>2.5896800000000001E-2</v>
      </c>
      <c r="V45">
        <v>589.95090000000005</v>
      </c>
      <c r="W45" s="4">
        <v>0.97934840000000001</v>
      </c>
      <c r="X45" s="2">
        <f t="shared" si="2"/>
        <v>1.0199241889753459</v>
      </c>
      <c r="Z45" t="s">
        <v>37</v>
      </c>
      <c r="AA45">
        <v>-0.44616567299999998</v>
      </c>
      <c r="AB45" s="1">
        <v>0.75293429999999995</v>
      </c>
      <c r="AC45">
        <v>-0.59256916999999998</v>
      </c>
      <c r="AD45">
        <v>664.94219999999996</v>
      </c>
      <c r="AE45" s="4">
        <v>0.55367100000000002</v>
      </c>
      <c r="AF45" s="2">
        <f t="shared" si="3"/>
        <v>0.64007771968082894</v>
      </c>
    </row>
    <row r="46" spans="1:32" x14ac:dyDescent="0.25">
      <c r="B46" s="3"/>
      <c r="C46" s="2"/>
      <c r="D46" s="1"/>
      <c r="H46" s="3"/>
      <c r="K46" s="1"/>
      <c r="S46" s="1"/>
      <c r="AB46" s="1"/>
    </row>
    <row r="47" spans="1:32" x14ac:dyDescent="0.25">
      <c r="B47" s="3"/>
      <c r="C47" s="2"/>
      <c r="D47" s="1"/>
      <c r="H47" s="3"/>
      <c r="K47" s="1"/>
      <c r="S47" s="1"/>
      <c r="Z47" t="s">
        <v>40</v>
      </c>
      <c r="AA47">
        <v>1.6683000400000001</v>
      </c>
      <c r="AB47" s="1">
        <v>0.89470470000000002</v>
      </c>
      <c r="AC47">
        <v>1.8646376499999999</v>
      </c>
      <c r="AD47">
        <v>664.94219999999996</v>
      </c>
      <c r="AE47" s="4">
        <v>6.2672560000000002E-2</v>
      </c>
      <c r="AF47" s="2">
        <f t="shared" si="3"/>
        <v>5.3031449957862904</v>
      </c>
    </row>
    <row r="48" spans="1:32" x14ac:dyDescent="0.25">
      <c r="A48" t="s">
        <v>123</v>
      </c>
      <c r="B48">
        <v>-0.776048136</v>
      </c>
      <c r="C48" s="3">
        <v>0.27440481</v>
      </c>
      <c r="D48" s="2">
        <v>-2.8281141600000002</v>
      </c>
      <c r="E48" s="4">
        <v>636.94539999999995</v>
      </c>
      <c r="F48" s="4">
        <v>4.829514E-3</v>
      </c>
      <c r="G48" s="2">
        <f t="shared" si="0"/>
        <v>0.46022115375444356</v>
      </c>
      <c r="H48" s="2"/>
      <c r="I48" s="2" t="s">
        <v>123</v>
      </c>
      <c r="J48">
        <v>-0.29457019000000001</v>
      </c>
      <c r="K48" s="2">
        <v>0.28979510000000003</v>
      </c>
      <c r="L48">
        <v>-1.0164776099999999</v>
      </c>
      <c r="M48">
        <v>634.94569999999999</v>
      </c>
      <c r="N48" s="4">
        <v>0.30978919999999999</v>
      </c>
      <c r="O48" s="2">
        <f t="shared" si="1"/>
        <v>0.74485166336850239</v>
      </c>
      <c r="R48" t="s">
        <v>123</v>
      </c>
      <c r="S48" s="1">
        <v>0.2031085</v>
      </c>
      <c r="T48">
        <v>0.33818126999999998</v>
      </c>
      <c r="U48">
        <v>0.60059072000000002</v>
      </c>
      <c r="V48">
        <v>589.95090000000005</v>
      </c>
      <c r="W48" s="4">
        <v>0.54834329999999998</v>
      </c>
      <c r="X48" s="2">
        <f t="shared" si="2"/>
        <v>1.2252053958214946</v>
      </c>
      <c r="Z48" t="s">
        <v>123</v>
      </c>
      <c r="AA48">
        <v>-0.39477337099999998</v>
      </c>
      <c r="AB48" s="1">
        <v>0.311888</v>
      </c>
      <c r="AC48">
        <v>-1.2657538399999999</v>
      </c>
      <c r="AD48">
        <v>664.94219999999996</v>
      </c>
      <c r="AE48" s="4">
        <v>0.20604449999999999</v>
      </c>
      <c r="AF48" s="2">
        <f t="shared" si="3"/>
        <v>0.67383273198412996</v>
      </c>
    </row>
    <row r="49" spans="1:32" x14ac:dyDescent="0.25">
      <c r="A49" s="3" t="s">
        <v>124</v>
      </c>
      <c r="B49" s="2">
        <v>7.1745365000000005E-2</v>
      </c>
      <c r="C49" s="1">
        <v>0.44512490999999998</v>
      </c>
      <c r="D49">
        <v>0.1611803</v>
      </c>
      <c r="E49" s="4">
        <v>636.94539999999995</v>
      </c>
      <c r="F49" s="4">
        <v>0.87200250000000001</v>
      </c>
      <c r="G49" s="2">
        <f t="shared" si="0"/>
        <v>1.0743817340371009</v>
      </c>
      <c r="I49" t="s">
        <v>124</v>
      </c>
      <c r="J49">
        <v>0.91025528</v>
      </c>
      <c r="K49" s="1">
        <v>0.55800760000000005</v>
      </c>
      <c r="L49">
        <v>1.63125969</v>
      </c>
      <c r="M49">
        <v>634.94569999999999</v>
      </c>
      <c r="N49" s="4">
        <v>0.1033314</v>
      </c>
      <c r="O49" s="2">
        <f t="shared" si="1"/>
        <v>2.484956812197042</v>
      </c>
      <c r="R49" t="s">
        <v>124</v>
      </c>
      <c r="S49" s="1">
        <v>-0.31850980000000001</v>
      </c>
      <c r="T49">
        <v>0.60266111</v>
      </c>
      <c r="U49">
        <v>-0.52850569000000003</v>
      </c>
      <c r="V49">
        <v>589.95090000000005</v>
      </c>
      <c r="W49" s="4">
        <v>0.59734719999999997</v>
      </c>
      <c r="X49" s="2">
        <f t="shared" si="2"/>
        <v>0.72723195104753813</v>
      </c>
      <c r="Z49" t="s">
        <v>131</v>
      </c>
      <c r="AA49">
        <v>0.109384223</v>
      </c>
      <c r="AB49" s="1">
        <v>0.4413108</v>
      </c>
      <c r="AC49">
        <v>0.2478621</v>
      </c>
      <c r="AD49">
        <v>664.94219999999996</v>
      </c>
      <c r="AE49" s="4">
        <v>0.80431759999999997</v>
      </c>
      <c r="AF49" s="2">
        <f t="shared" si="3"/>
        <v>1.1155909036899374</v>
      </c>
    </row>
    <row r="50" spans="1:32" x14ac:dyDescent="0.25">
      <c r="A50" s="2" t="s">
        <v>125</v>
      </c>
      <c r="B50">
        <v>-0.69723921</v>
      </c>
      <c r="C50">
        <v>0.36222220999999999</v>
      </c>
      <c r="D50" s="1">
        <v>-1.92489358</v>
      </c>
      <c r="E50" s="4">
        <v>636.94539999999995</v>
      </c>
      <c r="F50" s="4">
        <v>5.468771E-2</v>
      </c>
      <c r="G50" s="2">
        <f t="shared" si="0"/>
        <v>0.49795816575205831</v>
      </c>
      <c r="I50" t="s">
        <v>125</v>
      </c>
      <c r="J50">
        <v>-1.7932420000000001E-2</v>
      </c>
      <c r="K50" s="1">
        <v>0.33388400000000001</v>
      </c>
      <c r="L50">
        <v>-5.3708529999999997E-2</v>
      </c>
      <c r="M50">
        <v>634.94569999999999</v>
      </c>
      <c r="N50" s="4">
        <v>0.95718429999999999</v>
      </c>
      <c r="O50" s="2">
        <f t="shared" si="1"/>
        <v>0.98222740904371042</v>
      </c>
      <c r="R50" t="s">
        <v>125</v>
      </c>
      <c r="S50" s="1">
        <v>-5.6458599999999998E-2</v>
      </c>
      <c r="T50">
        <v>0.40106702999999999</v>
      </c>
      <c r="U50">
        <v>-0.14077097999999999</v>
      </c>
      <c r="V50">
        <v>589.95090000000005</v>
      </c>
      <c r="W50" s="4">
        <v>0.88809890000000002</v>
      </c>
      <c r="X50" s="2">
        <f t="shared" si="2"/>
        <v>0.94510561105751911</v>
      </c>
      <c r="Z50" t="s">
        <v>125</v>
      </c>
      <c r="AA50">
        <v>0.58606748399999997</v>
      </c>
      <c r="AB50" s="1">
        <v>0.33641979999999999</v>
      </c>
      <c r="AC50">
        <v>1.7420716700000001</v>
      </c>
      <c r="AD50">
        <v>664.94219999999996</v>
      </c>
      <c r="AE50" s="4">
        <v>8.1958279999999994E-2</v>
      </c>
      <c r="AF50" s="2">
        <f t="shared" si="3"/>
        <v>1.796908132877163</v>
      </c>
    </row>
    <row r="51" spans="1:32" x14ac:dyDescent="0.25">
      <c r="A51" t="s">
        <v>41</v>
      </c>
      <c r="B51">
        <v>-0.67366851999999999</v>
      </c>
      <c r="C51" s="1">
        <v>0.57436867999999996</v>
      </c>
      <c r="D51">
        <v>-1.1728852000000001</v>
      </c>
      <c r="E51" s="4">
        <v>636.94539999999995</v>
      </c>
      <c r="F51" s="4">
        <v>0.2412803</v>
      </c>
      <c r="G51" s="2">
        <f t="shared" si="0"/>
        <v>0.50983480372501433</v>
      </c>
      <c r="I51" t="s">
        <v>41</v>
      </c>
      <c r="J51">
        <v>-0.53278442000000004</v>
      </c>
      <c r="K51" s="1">
        <v>0.43583729999999998</v>
      </c>
      <c r="L51">
        <v>-1.2224388399999999</v>
      </c>
      <c r="M51">
        <v>634.94569999999999</v>
      </c>
      <c r="N51" s="4">
        <v>0.22199530000000001</v>
      </c>
      <c r="O51" s="2">
        <f t="shared" si="1"/>
        <v>0.58696832583801184</v>
      </c>
      <c r="R51" t="s">
        <v>41</v>
      </c>
      <c r="S51" s="1">
        <v>0.2416346</v>
      </c>
      <c r="T51">
        <v>0.47455700000000001</v>
      </c>
      <c r="U51">
        <v>0.50917924999999997</v>
      </c>
      <c r="V51">
        <v>589.95090000000005</v>
      </c>
      <c r="W51" s="4">
        <v>0.61081700000000005</v>
      </c>
      <c r="X51" s="2">
        <f t="shared" si="2"/>
        <v>1.2733288334444748</v>
      </c>
      <c r="Z51" t="s">
        <v>41</v>
      </c>
      <c r="AA51">
        <v>0.19165126399999999</v>
      </c>
      <c r="AB51" s="1">
        <v>0.49419220000000003</v>
      </c>
      <c r="AC51">
        <v>0.38780717999999997</v>
      </c>
      <c r="AD51">
        <v>664.94219999999996</v>
      </c>
      <c r="AE51" s="4">
        <v>0.69828279999999998</v>
      </c>
      <c r="AF51" s="2">
        <f t="shared" si="3"/>
        <v>1.2112480375066761</v>
      </c>
    </row>
    <row r="52" spans="1:32" x14ac:dyDescent="0.25">
      <c r="A52" s="1" t="s">
        <v>38</v>
      </c>
      <c r="B52">
        <v>0.133355795</v>
      </c>
      <c r="C52" s="3">
        <v>0.17820194</v>
      </c>
      <c r="D52" s="2">
        <v>0.74834086</v>
      </c>
      <c r="E52" s="4">
        <v>636.94539999999995</v>
      </c>
      <c r="F52" s="4">
        <v>0.45453080000000001</v>
      </c>
      <c r="G52" s="2">
        <f t="shared" si="0"/>
        <v>1.1426564774763861</v>
      </c>
      <c r="H52" s="3"/>
      <c r="I52" t="s">
        <v>38</v>
      </c>
      <c r="J52">
        <v>-0.2574264</v>
      </c>
      <c r="K52" s="1">
        <v>0.19142870000000001</v>
      </c>
      <c r="L52">
        <v>-1.3447638399999999</v>
      </c>
      <c r="M52">
        <v>634.94569999999999</v>
      </c>
      <c r="N52" s="4">
        <v>0.1791817</v>
      </c>
      <c r="O52" s="2">
        <f t="shared" si="1"/>
        <v>0.77303851985483663</v>
      </c>
      <c r="R52" t="s">
        <v>38</v>
      </c>
      <c r="S52" s="1">
        <v>-0.59082179999999995</v>
      </c>
      <c r="T52">
        <v>0.17406953</v>
      </c>
      <c r="U52">
        <v>-3.3941712599999998</v>
      </c>
      <c r="V52">
        <v>589.95090000000005</v>
      </c>
      <c r="W52" s="4">
        <v>7.3455649999999999E-4</v>
      </c>
      <c r="X52" s="2">
        <f t="shared" si="2"/>
        <v>0.55387192570456512</v>
      </c>
      <c r="Z52" t="s">
        <v>38</v>
      </c>
      <c r="AA52">
        <v>0.23346241100000001</v>
      </c>
      <c r="AB52" s="1">
        <v>0.16502539999999999</v>
      </c>
      <c r="AC52">
        <v>1.4147057300000001</v>
      </c>
      <c r="AD52">
        <v>664.94219999999996</v>
      </c>
      <c r="AE52" s="4">
        <v>0.15762290000000001</v>
      </c>
      <c r="AF52" s="2">
        <f t="shared" si="3"/>
        <v>1.2629653533939902</v>
      </c>
    </row>
    <row r="53" spans="1:32" x14ac:dyDescent="0.25">
      <c r="A53" s="1" t="s">
        <v>48</v>
      </c>
      <c r="B53">
        <v>1.5084992E-2</v>
      </c>
      <c r="C53">
        <v>9.0738399999999997E-3</v>
      </c>
      <c r="D53">
        <v>1.66247061</v>
      </c>
      <c r="E53" s="4">
        <v>636.94539999999995</v>
      </c>
      <c r="F53" s="4">
        <v>9.691044E-2</v>
      </c>
      <c r="G53" s="2">
        <f t="shared" si="0"/>
        <v>1.0151993447718164</v>
      </c>
      <c r="I53" t="s">
        <v>48</v>
      </c>
      <c r="J53">
        <v>3.0795909999999999E-2</v>
      </c>
      <c r="K53" s="1">
        <v>9.8438780000000004E-3</v>
      </c>
      <c r="L53">
        <v>3.1284332899999998</v>
      </c>
      <c r="M53">
        <v>634.94569999999999</v>
      </c>
      <c r="N53" s="4">
        <v>1.8378769999999999E-3</v>
      </c>
      <c r="O53" s="2">
        <f t="shared" si="1"/>
        <v>1.0312750094906658</v>
      </c>
      <c r="R53" t="s">
        <v>48</v>
      </c>
      <c r="S53" s="1">
        <v>2.1558129999999998E-2</v>
      </c>
      <c r="T53">
        <v>1.0667100000000001E-2</v>
      </c>
      <c r="U53">
        <v>2.0209932300000002</v>
      </c>
      <c r="V53">
        <v>589.95090000000005</v>
      </c>
      <c r="W53" s="4">
        <v>4.3731630000000001E-2</v>
      </c>
      <c r="X53" s="2">
        <f t="shared" si="2"/>
        <v>1.0217921853907848</v>
      </c>
      <c r="Z53" t="s">
        <v>48</v>
      </c>
      <c r="AA53">
        <v>5.6180140000000002E-3</v>
      </c>
      <c r="AB53" s="1">
        <v>9.5498159999999992E-3</v>
      </c>
      <c r="AC53">
        <v>0.58828510000000001</v>
      </c>
      <c r="AD53">
        <v>664.94219999999996</v>
      </c>
      <c r="AE53" s="4">
        <v>0.5565407</v>
      </c>
      <c r="AF53" s="2">
        <f t="shared" si="3"/>
        <v>1.0056338246349081</v>
      </c>
    </row>
    <row r="54" spans="1:32" x14ac:dyDescent="0.25">
      <c r="C54"/>
      <c r="D54"/>
      <c r="J54"/>
      <c r="K54"/>
    </row>
    <row r="55" spans="1:32" x14ac:dyDescent="0.25">
      <c r="A55" s="2"/>
      <c r="C55"/>
      <c r="D55"/>
      <c r="K55"/>
    </row>
    <row r="69" spans="4:4" x14ac:dyDescent="0.25">
      <c r="D69" s="2" t="e">
        <f>EXP(#REF!)</f>
        <v>#REF!</v>
      </c>
    </row>
    <row r="70" spans="4:4" x14ac:dyDescent="0.25">
      <c r="D70" s="2" t="e">
        <f>EXP(#REF!)</f>
        <v>#REF!</v>
      </c>
    </row>
    <row r="71" spans="4:4" x14ac:dyDescent="0.25">
      <c r="D71" s="2" t="e">
        <f>EXP(#REF!)</f>
        <v>#REF!</v>
      </c>
    </row>
    <row r="72" spans="4:4" x14ac:dyDescent="0.25">
      <c r="D72" s="2" t="e">
        <f>EXP(#REF!)</f>
        <v>#REF!</v>
      </c>
    </row>
    <row r="74" spans="4:4" x14ac:dyDescent="0.25">
      <c r="D74" s="2" t="e">
        <f>EXP(#REF!)</f>
        <v>#REF!</v>
      </c>
    </row>
    <row r="75" spans="4:4" x14ac:dyDescent="0.25">
      <c r="D75" s="2" t="e">
        <f>EXP(#REF!)</f>
        <v>#REF!</v>
      </c>
    </row>
    <row r="76" spans="4:4" x14ac:dyDescent="0.25">
      <c r="D76" s="2" t="e">
        <f>EXP(#REF!)</f>
        <v>#REF!</v>
      </c>
    </row>
    <row r="77" spans="4:4" x14ac:dyDescent="0.25">
      <c r="D77" s="2" t="e">
        <f>EXP(#REF!)</f>
        <v>#REF!</v>
      </c>
    </row>
    <row r="78" spans="4:4" x14ac:dyDescent="0.25">
      <c r="D78" s="2" t="e">
        <f>EXP(#REF!)</f>
        <v>#REF!</v>
      </c>
    </row>
    <row r="79" spans="4:4" x14ac:dyDescent="0.25">
      <c r="D79" s="2" t="e">
        <f>EXP(#REF!)</f>
        <v>#REF!</v>
      </c>
    </row>
    <row r="81" spans="4:4" x14ac:dyDescent="0.25">
      <c r="D81" s="2" t="e">
        <f>EXP(#REF!)</f>
        <v>#REF!</v>
      </c>
    </row>
    <row r="82" spans="4:4" x14ac:dyDescent="0.25">
      <c r="D82" s="2" t="e">
        <f>EXP(#REF!)</f>
        <v>#REF!</v>
      </c>
    </row>
    <row r="83" spans="4:4" x14ac:dyDescent="0.25">
      <c r="D83" s="2" t="e">
        <f>EXP(#REF!)</f>
        <v>#REF!</v>
      </c>
    </row>
    <row r="84" spans="4:4" x14ac:dyDescent="0.25">
      <c r="D84" s="2" t="e">
        <f>EXP(#REF!)</f>
        <v>#REF!</v>
      </c>
    </row>
    <row r="85" spans="4:4" x14ac:dyDescent="0.25">
      <c r="D85" s="2" t="e">
        <f>EXP(#REF!)</f>
        <v>#REF!</v>
      </c>
    </row>
    <row r="86" spans="4:4" x14ac:dyDescent="0.25">
      <c r="D86" s="2" t="e">
        <f>EXP(#REF!)</f>
        <v>#REF!</v>
      </c>
    </row>
    <row r="87" spans="4:4" x14ac:dyDescent="0.25">
      <c r="D87" s="2" t="e">
        <f>EXP(#REF!)</f>
        <v>#REF!</v>
      </c>
    </row>
    <row r="88" spans="4:4" x14ac:dyDescent="0.25">
      <c r="D88" s="2" t="e">
        <f>EXP(#REF!)</f>
        <v>#REF!</v>
      </c>
    </row>
    <row r="89" spans="4:4" x14ac:dyDescent="0.25">
      <c r="D89" s="2" t="e">
        <f>EXP(#REF!)</f>
        <v>#REF!</v>
      </c>
    </row>
    <row r="90" spans="4:4" x14ac:dyDescent="0.25">
      <c r="D90" s="2" t="e">
        <f>EXP(#REF!)</f>
        <v>#REF!</v>
      </c>
    </row>
    <row r="91" spans="4:4" x14ac:dyDescent="0.25">
      <c r="D91" s="2" t="e">
        <f>EXP(#REF!)</f>
        <v>#REF!</v>
      </c>
    </row>
    <row r="92" spans="4:4" x14ac:dyDescent="0.25">
      <c r="D92" s="2" t="e">
        <f>EXP(#REF!)</f>
        <v>#REF!</v>
      </c>
    </row>
    <row r="93" spans="4:4" x14ac:dyDescent="0.25">
      <c r="D93" s="2" t="e">
        <f>EXP(#REF!)</f>
        <v>#REF!</v>
      </c>
    </row>
    <row r="94" spans="4:4" x14ac:dyDescent="0.25">
      <c r="D94" s="2" t="e">
        <f>EXP(#REF!)</f>
        <v>#REF!</v>
      </c>
    </row>
    <row r="95" spans="4:4" x14ac:dyDescent="0.25">
      <c r="D95" s="2" t="e">
        <f>EXP(#REF!)</f>
        <v>#REF!</v>
      </c>
    </row>
    <row r="97" spans="4:4" x14ac:dyDescent="0.25">
      <c r="D97" s="2" t="e">
        <f>EXP(#REF!)</f>
        <v>#REF!</v>
      </c>
    </row>
    <row r="98" spans="4:4" x14ac:dyDescent="0.25">
      <c r="D98" s="2" t="e">
        <f>EXP(#REF!)</f>
        <v>#REF!</v>
      </c>
    </row>
    <row r="99" spans="4:4" x14ac:dyDescent="0.25">
      <c r="D99" s="2" t="e">
        <f>EXP(#REF!)</f>
        <v>#REF!</v>
      </c>
    </row>
    <row r="100" spans="4:4" x14ac:dyDescent="0.25">
      <c r="D100" s="2" t="e">
        <f>EXP(#REF!)</f>
        <v>#REF!</v>
      </c>
    </row>
    <row r="101" spans="4:4" x14ac:dyDescent="0.25">
      <c r="D101" s="2" t="e">
        <f>EXP(#REF!)</f>
        <v>#REF!</v>
      </c>
    </row>
    <row r="102" spans="4:4" x14ac:dyDescent="0.25">
      <c r="D102" s="2" t="e">
        <f>EXP(#REF!)</f>
        <v>#REF!</v>
      </c>
    </row>
    <row r="105" spans="4:4" x14ac:dyDescent="0.25">
      <c r="D105" s="2" t="e">
        <f>EXP(#REF!)</f>
        <v>#REF!</v>
      </c>
    </row>
    <row r="106" spans="4:4" x14ac:dyDescent="0.25">
      <c r="D106" s="2" t="e">
        <f>EXP(#REF!)</f>
        <v>#REF!</v>
      </c>
    </row>
    <row r="107" spans="4:4" x14ac:dyDescent="0.25">
      <c r="D107" s="2" t="e">
        <f>EXP(#REF!)</f>
        <v>#REF!</v>
      </c>
    </row>
    <row r="108" spans="4:4" x14ac:dyDescent="0.25">
      <c r="D108" s="2" t="e">
        <f>EXP(#REF!)</f>
        <v>#REF!</v>
      </c>
    </row>
    <row r="109" spans="4:4" x14ac:dyDescent="0.25">
      <c r="D109" s="2" t="e">
        <f>EXP(#REF!)</f>
        <v>#REF!</v>
      </c>
    </row>
    <row r="110" spans="4:4" x14ac:dyDescent="0.25">
      <c r="D110" s="2" t="e">
        <f>EXP(#REF!)</f>
        <v>#REF!</v>
      </c>
    </row>
    <row r="112" spans="4:4" x14ac:dyDescent="0.25">
      <c r="D112" s="2" t="e">
        <f>EXP(#REF!)</f>
        <v>#REF!</v>
      </c>
    </row>
    <row r="113" spans="4:9" x14ac:dyDescent="0.25">
      <c r="D113" s="2" t="e">
        <f>EXP(#REF!)</f>
        <v>#REF!</v>
      </c>
    </row>
    <row r="114" spans="4:9" x14ac:dyDescent="0.25">
      <c r="D114" s="2" t="e">
        <f>EXP(#REF!)</f>
        <v>#REF!</v>
      </c>
    </row>
    <row r="115" spans="4:9" x14ac:dyDescent="0.25">
      <c r="D115" s="2" t="e">
        <f>EXP(#REF!)</f>
        <v>#REF!</v>
      </c>
    </row>
    <row r="117" spans="4:9" x14ac:dyDescent="0.25">
      <c r="D117" s="2" t="e">
        <f>EXP(#REF!)</f>
        <v>#REF!</v>
      </c>
      <c r="I117" s="2"/>
    </row>
    <row r="118" spans="4:9" x14ac:dyDescent="0.25">
      <c r="D118" s="2" t="e">
        <f>EXP(#REF!)</f>
        <v>#REF!</v>
      </c>
      <c r="I118" s="2"/>
    </row>
    <row r="119" spans="4:9" x14ac:dyDescent="0.25">
      <c r="D119" s="2" t="e">
        <f>EXP(#REF!)</f>
        <v>#REF!</v>
      </c>
      <c r="I119" s="2"/>
    </row>
    <row r="120" spans="4:9" x14ac:dyDescent="0.25">
      <c r="D120" s="2" t="e">
        <f>EXP(#REF!)</f>
        <v>#REF!</v>
      </c>
      <c r="I120" s="2"/>
    </row>
    <row r="121" spans="4:9" x14ac:dyDescent="0.25">
      <c r="D121" s="2" t="e">
        <f>EXP(#REF!)</f>
        <v>#REF!</v>
      </c>
      <c r="I121" s="2"/>
    </row>
    <row r="122" spans="4:9" x14ac:dyDescent="0.25">
      <c r="D122" s="2" t="e">
        <f>EXP(#REF!)</f>
        <v>#REF!</v>
      </c>
      <c r="I122" s="2"/>
    </row>
    <row r="123" spans="4:9" x14ac:dyDescent="0.25">
      <c r="D123" s="2" t="e">
        <f>EXP(#REF!)</f>
        <v>#REF!</v>
      </c>
      <c r="I123" s="2"/>
    </row>
    <row r="124" spans="4:9" x14ac:dyDescent="0.25">
      <c r="D124" s="2" t="e">
        <f>EXP(#REF!)</f>
        <v>#REF!</v>
      </c>
      <c r="I124" s="2"/>
    </row>
    <row r="125" spans="4:9" x14ac:dyDescent="0.25">
      <c r="D125" s="2" t="e">
        <f>EXP(#REF!)</f>
        <v>#REF!</v>
      </c>
      <c r="I125" s="2"/>
    </row>
    <row r="126" spans="4:9" x14ac:dyDescent="0.25">
      <c r="D126" s="2" t="e">
        <f>EXP(#REF!)</f>
        <v>#REF!</v>
      </c>
      <c r="I126" s="2"/>
    </row>
    <row r="127" spans="4:9" x14ac:dyDescent="0.25">
      <c r="D127" s="2" t="e">
        <f>EXP(#REF!)</f>
        <v>#REF!</v>
      </c>
      <c r="I127" s="2"/>
    </row>
    <row r="128" spans="4:9" x14ac:dyDescent="0.25">
      <c r="D128" s="2" t="e">
        <f>EXP(#REF!)</f>
        <v>#REF!</v>
      </c>
      <c r="I128" s="2"/>
    </row>
    <row r="129" spans="4:9" x14ac:dyDescent="0.25">
      <c r="D129" s="2" t="e">
        <f>EXP(#REF!)</f>
        <v>#REF!</v>
      </c>
      <c r="I129" s="2"/>
    </row>
    <row r="130" spans="4:9" x14ac:dyDescent="0.25">
      <c r="D130" s="2" t="e">
        <f>EXP(#REF!)</f>
        <v>#REF!</v>
      </c>
      <c r="I130" s="2"/>
    </row>
    <row r="131" spans="4:9" x14ac:dyDescent="0.25">
      <c r="D131" s="2" t="e">
        <f>EXP(#REF!)</f>
        <v>#REF!</v>
      </c>
      <c r="I131" s="2"/>
    </row>
    <row r="132" spans="4:9" x14ac:dyDescent="0.25">
      <c r="D132" s="2" t="e">
        <f>EXP(#REF!)</f>
        <v>#REF!</v>
      </c>
      <c r="I132" s="2"/>
    </row>
    <row r="133" spans="4:9" x14ac:dyDescent="0.25">
      <c r="D133" s="2" t="e">
        <f>EXP(#REF!)</f>
        <v>#REF!</v>
      </c>
      <c r="I133" s="2"/>
    </row>
    <row r="134" spans="4:9" x14ac:dyDescent="0.25">
      <c r="I134" s="2"/>
    </row>
    <row r="135" spans="4:9" x14ac:dyDescent="0.25">
      <c r="D135" s="2" t="e">
        <f>EXP(#REF!)</f>
        <v>#REF!</v>
      </c>
      <c r="I135" s="2"/>
    </row>
    <row r="136" spans="4:9" x14ac:dyDescent="0.25">
      <c r="D136" s="2" t="e">
        <f>EXP(#REF!)</f>
        <v>#REF!</v>
      </c>
      <c r="I136" s="2"/>
    </row>
    <row r="137" spans="4:9" x14ac:dyDescent="0.25">
      <c r="D137" s="2" t="e">
        <f>EXP(#REF!)</f>
        <v>#REF!</v>
      </c>
      <c r="I137" s="2"/>
    </row>
    <row r="138" spans="4:9" x14ac:dyDescent="0.25">
      <c r="D138" s="2" t="e">
        <f>EXP(#REF!)</f>
        <v>#REF!</v>
      </c>
      <c r="I138" s="2"/>
    </row>
    <row r="139" spans="4:9" x14ac:dyDescent="0.25">
      <c r="D139" s="2" t="e">
        <f>EXP(#REF!)</f>
        <v>#REF!</v>
      </c>
      <c r="I139" s="2"/>
    </row>
    <row r="140" spans="4:9" x14ac:dyDescent="0.25">
      <c r="D140" s="2" t="e">
        <f>EXP(#REF!)</f>
        <v>#REF!</v>
      </c>
      <c r="I140" s="2"/>
    </row>
    <row r="141" spans="4:9" x14ac:dyDescent="0.25">
      <c r="I141" s="2"/>
    </row>
    <row r="142" spans="4:9" x14ac:dyDescent="0.25">
      <c r="I142" s="2"/>
    </row>
    <row r="143" spans="4:9" x14ac:dyDescent="0.25">
      <c r="D143" s="2" t="e">
        <f>EXP(#REF!)</f>
        <v>#REF!</v>
      </c>
      <c r="I143" s="2"/>
    </row>
    <row r="144" spans="4:9" x14ac:dyDescent="0.25">
      <c r="D144" s="2" t="e">
        <f>EXP(#REF!)</f>
        <v>#REF!</v>
      </c>
      <c r="I144" s="2"/>
    </row>
    <row r="145" spans="4:9" x14ac:dyDescent="0.25">
      <c r="D145" s="2" t="e">
        <f>EXP(#REF!)</f>
        <v>#REF!</v>
      </c>
      <c r="I145" s="2"/>
    </row>
    <row r="146" spans="4:9" x14ac:dyDescent="0.25">
      <c r="D146" s="2" t="e">
        <f>EXP(#REF!)</f>
        <v>#REF!</v>
      </c>
      <c r="I146" s="2"/>
    </row>
    <row r="147" spans="4:9" x14ac:dyDescent="0.25">
      <c r="D147" s="2" t="e">
        <f>EXP(#REF!)</f>
        <v>#REF!</v>
      </c>
      <c r="I147" s="2"/>
    </row>
    <row r="148" spans="4:9" x14ac:dyDescent="0.25">
      <c r="D148" s="2" t="e">
        <f>EXP(#REF!)</f>
        <v>#REF!</v>
      </c>
      <c r="I148" s="2"/>
    </row>
    <row r="149" spans="4:9" x14ac:dyDescent="0.25">
      <c r="I149" s="2"/>
    </row>
    <row r="150" spans="4:9" x14ac:dyDescent="0.25">
      <c r="D150" s="2" t="e">
        <f>EXP(#REF!)</f>
        <v>#REF!</v>
      </c>
      <c r="I150" s="2"/>
    </row>
    <row r="151" spans="4:9" x14ac:dyDescent="0.25">
      <c r="D151" s="2" t="e">
        <f>EXP(#REF!)</f>
        <v>#REF!</v>
      </c>
      <c r="I151" s="2"/>
    </row>
    <row r="152" spans="4:9" x14ac:dyDescent="0.25">
      <c r="D152" s="2" t="e">
        <f>EXP(#REF!)</f>
        <v>#REF!</v>
      </c>
      <c r="I152" s="2"/>
    </row>
    <row r="153" spans="4:9" x14ac:dyDescent="0.25">
      <c r="D153" s="2" t="e">
        <f>EXP(#REF!)</f>
        <v>#REF!</v>
      </c>
      <c r="I153" s="2"/>
    </row>
    <row r="154" spans="4:9" x14ac:dyDescent="0.25">
      <c r="I154" s="2"/>
    </row>
    <row r="155" spans="4:9" x14ac:dyDescent="0.25">
      <c r="D155" s="2" t="e">
        <f>EXP(#REF!)</f>
        <v>#REF!</v>
      </c>
      <c r="I155" s="2"/>
    </row>
    <row r="156" spans="4:9" x14ac:dyDescent="0.25">
      <c r="D156" s="2" t="e">
        <f>EXP(#REF!)</f>
        <v>#REF!</v>
      </c>
      <c r="I156" s="2"/>
    </row>
    <row r="157" spans="4:9" x14ac:dyDescent="0.25">
      <c r="D157" s="2" t="e">
        <f>EXP(#REF!)</f>
        <v>#REF!</v>
      </c>
      <c r="I157" s="2"/>
    </row>
    <row r="158" spans="4:9" x14ac:dyDescent="0.25">
      <c r="D158" s="2" t="e">
        <f>EXP(#REF!)</f>
        <v>#REF!</v>
      </c>
    </row>
    <row r="159" spans="4:9" x14ac:dyDescent="0.25">
      <c r="D159" s="2" t="e">
        <f>EXP(#REF!)</f>
        <v>#REF!</v>
      </c>
    </row>
    <row r="161" spans="4:9" x14ac:dyDescent="0.25">
      <c r="D161" s="2" t="e">
        <f>EXP(#REF!)</f>
        <v>#REF!</v>
      </c>
    </row>
    <row r="162" spans="4:9" x14ac:dyDescent="0.25">
      <c r="D162" s="2" t="e">
        <f>EXP(#REF!)</f>
        <v>#REF!</v>
      </c>
    </row>
    <row r="163" spans="4:9" x14ac:dyDescent="0.25">
      <c r="D163" s="2" t="e">
        <f>EXP(#REF!)</f>
        <v>#REF!</v>
      </c>
    </row>
    <row r="165" spans="4:9" x14ac:dyDescent="0.25">
      <c r="D165" s="2" t="e">
        <f>EXP(#REF!)</f>
        <v>#REF!</v>
      </c>
      <c r="I165" s="3"/>
    </row>
    <row r="166" spans="4:9" x14ac:dyDescent="0.25">
      <c r="D166" s="2" t="e">
        <f>EXP(#REF!)</f>
        <v>#REF!</v>
      </c>
      <c r="I166" s="3"/>
    </row>
    <row r="167" spans="4:9" x14ac:dyDescent="0.25">
      <c r="D167" s="2" t="e">
        <f>EXP(#REF!)</f>
        <v>#REF!</v>
      </c>
      <c r="I167" s="3"/>
    </row>
    <row r="168" spans="4:9" x14ac:dyDescent="0.25">
      <c r="D168" s="2" t="e">
        <f>EXP(#REF!)</f>
        <v>#REF!</v>
      </c>
      <c r="I168" s="3"/>
    </row>
    <row r="169" spans="4:9" x14ac:dyDescent="0.25">
      <c r="D169" s="2" t="e">
        <f>EXP(#REF!)</f>
        <v>#REF!</v>
      </c>
      <c r="I169" s="3"/>
    </row>
    <row r="170" spans="4:9" x14ac:dyDescent="0.25">
      <c r="D170" s="2" t="e">
        <f>EXP(#REF!)</f>
        <v>#REF!</v>
      </c>
      <c r="I170" s="3"/>
    </row>
    <row r="171" spans="4:9" x14ac:dyDescent="0.25">
      <c r="D171" s="2" t="e">
        <f>EXP(#REF!)</f>
        <v>#REF!</v>
      </c>
      <c r="I171" s="3"/>
    </row>
    <row r="172" spans="4:9" x14ac:dyDescent="0.25">
      <c r="D172" s="2" t="e">
        <f>EXP(#REF!)</f>
        <v>#REF!</v>
      </c>
      <c r="I172" s="3"/>
    </row>
    <row r="173" spans="4:9" x14ac:dyDescent="0.25">
      <c r="D173" s="2" t="e">
        <f>EXP(#REF!)</f>
        <v>#REF!</v>
      </c>
      <c r="I173" s="3"/>
    </row>
    <row r="174" spans="4:9" x14ac:dyDescent="0.25">
      <c r="D174" s="2" t="e">
        <f>EXP(#REF!)</f>
        <v>#REF!</v>
      </c>
    </row>
    <row r="175" spans="4:9" x14ac:dyDescent="0.25">
      <c r="D175" s="2" t="e">
        <f>EXP(#REF!)</f>
        <v>#REF!</v>
      </c>
      <c r="I175" s="3"/>
    </row>
    <row r="176" spans="4:9" x14ac:dyDescent="0.25">
      <c r="D176" s="2" t="e">
        <f>EXP(#REF!)</f>
        <v>#REF!</v>
      </c>
      <c r="I176" s="3"/>
    </row>
    <row r="177" spans="4:9" x14ac:dyDescent="0.25">
      <c r="D177" s="2" t="e">
        <f>EXP(#REF!)</f>
        <v>#REF!</v>
      </c>
      <c r="I177" s="3"/>
    </row>
    <row r="178" spans="4:9" x14ac:dyDescent="0.25">
      <c r="D178" s="2" t="e">
        <f>EXP(#REF!)</f>
        <v>#REF!</v>
      </c>
      <c r="I178" s="3"/>
    </row>
    <row r="179" spans="4:9" x14ac:dyDescent="0.25">
      <c r="D179" s="2" t="e">
        <f>EXP(#REF!)</f>
        <v>#REF!</v>
      </c>
      <c r="I179" s="3"/>
    </row>
    <row r="180" spans="4:9" x14ac:dyDescent="0.25">
      <c r="D180" s="2" t="e">
        <f>EXP(#REF!)</f>
        <v>#REF!</v>
      </c>
      <c r="I180" s="3"/>
    </row>
    <row r="181" spans="4:9" x14ac:dyDescent="0.25">
      <c r="D181" s="2" t="e">
        <f>EXP(#REF!)</f>
        <v>#REF!</v>
      </c>
      <c r="I181" s="3"/>
    </row>
    <row r="182" spans="4:9" x14ac:dyDescent="0.25">
      <c r="D182" s="2" t="e">
        <f>EXP(#REF!)</f>
        <v>#REF!</v>
      </c>
      <c r="I182" s="3"/>
    </row>
    <row r="183" spans="4:9" x14ac:dyDescent="0.25">
      <c r="D183" s="2" t="e">
        <f>EXP(#REF!)</f>
        <v>#REF!</v>
      </c>
      <c r="I183" s="3"/>
    </row>
    <row r="184" spans="4:9" x14ac:dyDescent="0.25">
      <c r="D184" s="2" t="e">
        <f>EXP(#REF!)</f>
        <v>#REF!</v>
      </c>
      <c r="I184" s="3"/>
    </row>
    <row r="185" spans="4:9" x14ac:dyDescent="0.25">
      <c r="D185" s="2" t="e">
        <f>EXP(#REF!)</f>
        <v>#REF!</v>
      </c>
      <c r="I185" s="3"/>
    </row>
    <row r="186" spans="4:9" x14ac:dyDescent="0.25">
      <c r="D186" s="2" t="e">
        <f>EXP(#REF!)</f>
        <v>#REF!</v>
      </c>
      <c r="I186" s="3"/>
    </row>
    <row r="187" spans="4:9" x14ac:dyDescent="0.25">
      <c r="D187" s="2" t="e">
        <f>EXP(#REF!)</f>
        <v>#REF!</v>
      </c>
      <c r="I187" s="3"/>
    </row>
    <row r="188" spans="4:9" x14ac:dyDescent="0.25">
      <c r="D188" s="2" t="e">
        <f>EXP(#REF!)</f>
        <v>#REF!</v>
      </c>
      <c r="I188" s="3"/>
    </row>
    <row r="189" spans="4:9" x14ac:dyDescent="0.25">
      <c r="D189" s="2" t="e">
        <f>EXP(#REF!)</f>
        <v>#REF!</v>
      </c>
      <c r="I189" s="3"/>
    </row>
    <row r="190" spans="4:9" x14ac:dyDescent="0.25">
      <c r="D190" s="2" t="e">
        <f>EXP(#REF!)</f>
        <v>#REF!</v>
      </c>
      <c r="I190" s="3"/>
    </row>
    <row r="191" spans="4:9" x14ac:dyDescent="0.25">
      <c r="D191" s="2" t="e">
        <f>EXP(#REF!)</f>
        <v>#REF!</v>
      </c>
    </row>
    <row r="192" spans="4:9" x14ac:dyDescent="0.25">
      <c r="D192" s="2" t="e">
        <f>EXP(#REF!)</f>
        <v>#REF!</v>
      </c>
      <c r="I192" s="3"/>
    </row>
    <row r="193" spans="4:9" x14ac:dyDescent="0.25">
      <c r="D193" s="2" t="e">
        <f>EXP(#REF!)</f>
        <v>#REF!</v>
      </c>
      <c r="I193" s="3"/>
    </row>
    <row r="194" spans="4:9" x14ac:dyDescent="0.25">
      <c r="D194" s="2" t="e">
        <f>EXP(#REF!)</f>
        <v>#REF!</v>
      </c>
      <c r="I194" s="3"/>
    </row>
    <row r="195" spans="4:9" x14ac:dyDescent="0.25">
      <c r="D195" s="2" t="e">
        <f>EXP(#REF!)</f>
        <v>#REF!</v>
      </c>
      <c r="I195" s="3"/>
    </row>
    <row r="196" spans="4:9" x14ac:dyDescent="0.25">
      <c r="D196" s="2" t="e">
        <f>EXP(#REF!)</f>
        <v>#REF!</v>
      </c>
      <c r="I196" s="3"/>
    </row>
    <row r="197" spans="4:9" x14ac:dyDescent="0.25">
      <c r="D197" s="2" t="e">
        <f>EXP(#REF!)</f>
        <v>#REF!</v>
      </c>
      <c r="I197" s="3"/>
    </row>
    <row r="198" spans="4:9" x14ac:dyDescent="0.25">
      <c r="D198" s="2" t="e">
        <f>EXP(#REF!)</f>
        <v>#REF!</v>
      </c>
      <c r="I198" s="3"/>
    </row>
    <row r="199" spans="4:9" x14ac:dyDescent="0.25">
      <c r="D199" s="2" t="e">
        <f>EXP(#REF!)</f>
        <v>#REF!</v>
      </c>
      <c r="I199" s="3"/>
    </row>
    <row r="200" spans="4:9" x14ac:dyDescent="0.25">
      <c r="D200" s="2" t="e">
        <f>EXP(#REF!)</f>
        <v>#REF!</v>
      </c>
      <c r="I200" s="3"/>
    </row>
    <row r="201" spans="4:9" x14ac:dyDescent="0.25">
      <c r="D201" s="2" t="e">
        <f>EXP(#REF!)</f>
        <v>#REF!</v>
      </c>
      <c r="I201" s="3"/>
    </row>
    <row r="202" spans="4:9" x14ac:dyDescent="0.25">
      <c r="D202" s="2" t="e">
        <f>EXP(#REF!)</f>
        <v>#REF!</v>
      </c>
      <c r="I202" s="3"/>
    </row>
    <row r="203" spans="4:9" x14ac:dyDescent="0.25">
      <c r="D203" s="2" t="e">
        <f>EXP(#REF!)</f>
        <v>#REF!</v>
      </c>
      <c r="I203" s="3"/>
    </row>
    <row r="204" spans="4:9" x14ac:dyDescent="0.25">
      <c r="D204" s="2" t="e">
        <f>EXP(#REF!)</f>
        <v>#REF!</v>
      </c>
      <c r="I204" s="3"/>
    </row>
    <row r="205" spans="4:9" x14ac:dyDescent="0.25">
      <c r="D205" s="2" t="e">
        <f>EXP(#REF!)</f>
        <v>#REF!</v>
      </c>
      <c r="I205" s="3"/>
    </row>
    <row r="206" spans="4:9" x14ac:dyDescent="0.25">
      <c r="D206" s="2" t="e">
        <f>EXP(#REF!)</f>
        <v>#REF!</v>
      </c>
      <c r="I206" s="3"/>
    </row>
    <row r="207" spans="4:9" x14ac:dyDescent="0.25">
      <c r="D207" s="2" t="e">
        <f>EXP(#REF!)</f>
        <v>#REF!</v>
      </c>
      <c r="I207" s="3"/>
    </row>
    <row r="208" spans="4:9" x14ac:dyDescent="0.25">
      <c r="D208" s="2" t="e">
        <f>EXP(#REF!)</f>
        <v>#REF!</v>
      </c>
      <c r="I208" s="3"/>
    </row>
    <row r="209" spans="4:9" x14ac:dyDescent="0.25">
      <c r="D209" s="2" t="e">
        <f>EXP(#REF!)</f>
        <v>#REF!</v>
      </c>
      <c r="I209" s="3"/>
    </row>
    <row r="210" spans="4:9" x14ac:dyDescent="0.25">
      <c r="D210" s="2" t="e">
        <f>EXP(#REF!)</f>
        <v>#REF!</v>
      </c>
      <c r="I210" s="3"/>
    </row>
    <row r="211" spans="4:9" x14ac:dyDescent="0.25">
      <c r="D211" s="2" t="e">
        <f>EXP(#REF!)</f>
        <v>#REF!</v>
      </c>
      <c r="I211" s="3"/>
    </row>
    <row r="212" spans="4:9" x14ac:dyDescent="0.25">
      <c r="D212" s="2" t="e">
        <f>EXP(#REF!)</f>
        <v>#REF!</v>
      </c>
      <c r="I212" s="3"/>
    </row>
    <row r="213" spans="4:9" x14ac:dyDescent="0.25">
      <c r="D213" s="2" t="e">
        <f>EXP(#REF!)</f>
        <v>#REF!</v>
      </c>
      <c r="I213" s="3"/>
    </row>
    <row r="214" spans="4:9" x14ac:dyDescent="0.25">
      <c r="D214" s="2" t="e">
        <f>EXP(#REF!)</f>
        <v>#REF!</v>
      </c>
      <c r="I214" s="3"/>
    </row>
    <row r="215" spans="4:9" x14ac:dyDescent="0.25">
      <c r="D215" s="2" t="e">
        <f>EXP(#REF!)</f>
        <v>#REF!</v>
      </c>
      <c r="I215" s="3"/>
    </row>
    <row r="216" spans="4:9" x14ac:dyDescent="0.25">
      <c r="D216" s="2" t="e">
        <f>EXP(#REF!)</f>
        <v>#REF!</v>
      </c>
      <c r="I216" s="3"/>
    </row>
    <row r="217" spans="4:9" x14ac:dyDescent="0.25">
      <c r="D217" s="2" t="e">
        <f>EXP(#REF!)</f>
        <v>#REF!</v>
      </c>
      <c r="I217" s="3"/>
    </row>
    <row r="218" spans="4:9" x14ac:dyDescent="0.25">
      <c r="D218" s="2" t="e">
        <f>EXP(#REF!)</f>
        <v>#REF!</v>
      </c>
      <c r="I218" s="3"/>
    </row>
    <row r="219" spans="4:9" x14ac:dyDescent="0.25">
      <c r="D219" s="2" t="e">
        <f>EXP(#REF!)</f>
        <v>#REF!</v>
      </c>
      <c r="I219" s="3"/>
    </row>
    <row r="220" spans="4:9" x14ac:dyDescent="0.25">
      <c r="D220" s="2" t="e">
        <f>EXP(#REF!)</f>
        <v>#REF!</v>
      </c>
      <c r="I220" s="3"/>
    </row>
    <row r="221" spans="4:9" x14ac:dyDescent="0.25">
      <c r="D221" s="2" t="e">
        <f>EXP(#REF!)</f>
        <v>#REF!</v>
      </c>
      <c r="I221" s="3"/>
    </row>
    <row r="222" spans="4:9" x14ac:dyDescent="0.25">
      <c r="D222" s="2" t="e">
        <f>EXP(#REF!)</f>
        <v>#REF!</v>
      </c>
      <c r="I222" s="3"/>
    </row>
    <row r="223" spans="4:9" x14ac:dyDescent="0.25">
      <c r="D223" s="2" t="e">
        <f>EXP(#REF!)</f>
        <v>#REF!</v>
      </c>
      <c r="I223" s="3"/>
    </row>
    <row r="224" spans="4:9" x14ac:dyDescent="0.25">
      <c r="D224" s="2" t="e">
        <f>EXP(#REF!)</f>
        <v>#REF!</v>
      </c>
      <c r="I224" s="3"/>
    </row>
    <row r="225" spans="4:9" x14ac:dyDescent="0.25">
      <c r="D225" s="2" t="e">
        <f>EXP(#REF!)</f>
        <v>#REF!</v>
      </c>
      <c r="I225" s="3"/>
    </row>
    <row r="226" spans="4:9" x14ac:dyDescent="0.25">
      <c r="D226" s="2" t="e">
        <f>EXP(#REF!)</f>
        <v>#REF!</v>
      </c>
      <c r="I226" s="3"/>
    </row>
    <row r="227" spans="4:9" x14ac:dyDescent="0.25">
      <c r="D227" s="2" t="e">
        <f>EXP(#REF!)</f>
        <v>#REF!</v>
      </c>
      <c r="I227" s="3"/>
    </row>
    <row r="228" spans="4:9" x14ac:dyDescent="0.25">
      <c r="D228" s="2" t="e">
        <f>EXP(#REF!)</f>
        <v>#REF!</v>
      </c>
      <c r="I228" s="3"/>
    </row>
    <row r="229" spans="4:9" x14ac:dyDescent="0.25">
      <c r="D229" s="2" t="e">
        <f>EXP(#REF!)</f>
        <v>#REF!</v>
      </c>
      <c r="I229" s="3"/>
    </row>
    <row r="230" spans="4:9" x14ac:dyDescent="0.25">
      <c r="D230" s="2" t="e">
        <f>EXP(#REF!)</f>
        <v>#REF!</v>
      </c>
      <c r="I230" s="3"/>
    </row>
    <row r="231" spans="4:9" x14ac:dyDescent="0.25">
      <c r="D231" s="2" t="e">
        <f>EXP(#REF!)</f>
        <v>#REF!</v>
      </c>
      <c r="I231" s="3"/>
    </row>
    <row r="232" spans="4:9" x14ac:dyDescent="0.25">
      <c r="D232" s="2" t="e">
        <f>EXP(#REF!)</f>
        <v>#REF!</v>
      </c>
      <c r="I232" s="3"/>
    </row>
    <row r="233" spans="4:9" x14ac:dyDescent="0.25">
      <c r="D233" s="2" t="e">
        <f>EXP(#REF!)</f>
        <v>#REF!</v>
      </c>
      <c r="I233" s="3"/>
    </row>
    <row r="234" spans="4:9" x14ac:dyDescent="0.25">
      <c r="D234" s="2" t="e">
        <f>EXP(#REF!)</f>
        <v>#REF!</v>
      </c>
      <c r="I234" s="3"/>
    </row>
    <row r="235" spans="4:9" x14ac:dyDescent="0.25">
      <c r="D235" s="2" t="e">
        <f>EXP(#REF!)</f>
        <v>#REF!</v>
      </c>
      <c r="I235" s="3"/>
    </row>
    <row r="236" spans="4:9" x14ac:dyDescent="0.25">
      <c r="D236" s="2" t="e">
        <f>EXP(#REF!)</f>
        <v>#REF!</v>
      </c>
      <c r="I236" s="3"/>
    </row>
    <row r="237" spans="4:9" x14ac:dyDescent="0.25">
      <c r="D237" s="2" t="e">
        <f>EXP(#REF!)</f>
        <v>#REF!</v>
      </c>
      <c r="I237" s="3"/>
    </row>
    <row r="238" spans="4:9" x14ac:dyDescent="0.25">
      <c r="D238" s="2" t="e">
        <f>EXP(#REF!)</f>
        <v>#REF!</v>
      </c>
      <c r="I238" s="3"/>
    </row>
    <row r="239" spans="4:9" x14ac:dyDescent="0.25">
      <c r="D239" s="2" t="e">
        <f>EXP(#REF!)</f>
        <v>#REF!</v>
      </c>
      <c r="I239" s="3"/>
    </row>
    <row r="240" spans="4:9" x14ac:dyDescent="0.25">
      <c r="D240" s="2" t="e">
        <f>EXP(#REF!)</f>
        <v>#REF!</v>
      </c>
      <c r="I240" s="3"/>
    </row>
    <row r="241" spans="4:20" x14ac:dyDescent="0.25">
      <c r="D241" s="2" t="e">
        <f>EXP(#REF!)</f>
        <v>#REF!</v>
      </c>
      <c r="I241" s="3"/>
    </row>
    <row r="242" spans="4:20" x14ac:dyDescent="0.25">
      <c r="D242" s="2" t="e">
        <f>EXP(#REF!)</f>
        <v>#REF!</v>
      </c>
      <c r="I242" s="3"/>
    </row>
    <row r="243" spans="4:20" x14ac:dyDescent="0.25">
      <c r="D243" s="2" t="e">
        <f>EXP(#REF!)</f>
        <v>#REF!</v>
      </c>
      <c r="I243" s="3"/>
    </row>
    <row r="244" spans="4:20" x14ac:dyDescent="0.25">
      <c r="D244" s="2" t="e">
        <f>EXP(#REF!)</f>
        <v>#REF!</v>
      </c>
      <c r="I244" s="3"/>
    </row>
    <row r="245" spans="4:20" x14ac:dyDescent="0.25">
      <c r="D245" s="2" t="e">
        <f>EXP(#REF!)</f>
        <v>#REF!</v>
      </c>
      <c r="I245" s="3"/>
    </row>
    <row r="246" spans="4:20" x14ac:dyDescent="0.25">
      <c r="D246" s="2" t="e">
        <f>EXP(#REF!)</f>
        <v>#REF!</v>
      </c>
      <c r="I246" s="3"/>
    </row>
    <row r="247" spans="4:20" x14ac:dyDescent="0.25">
      <c r="D247" s="2" t="e">
        <f>EXP(#REF!)</f>
        <v>#REF!</v>
      </c>
      <c r="I247" s="3"/>
    </row>
    <row r="248" spans="4:20" x14ac:dyDescent="0.25">
      <c r="D248" s="2" t="e">
        <f>EXP(#REF!)</f>
        <v>#REF!</v>
      </c>
      <c r="I248" s="3"/>
    </row>
    <row r="249" spans="4:20" x14ac:dyDescent="0.25">
      <c r="D249" s="2" t="e">
        <f>EXP(#REF!)</f>
        <v>#REF!</v>
      </c>
      <c r="I249" s="3"/>
    </row>
    <row r="250" spans="4:20" x14ac:dyDescent="0.25">
      <c r="D250" s="2" t="e">
        <f>EXP(#REF!)</f>
        <v>#REF!</v>
      </c>
      <c r="I250" s="3"/>
      <c r="S250" s="1"/>
      <c r="T250" s="1"/>
    </row>
    <row r="251" spans="4:20" x14ac:dyDescent="0.25">
      <c r="D251" s="2" t="e">
        <f>EXP(#REF!)</f>
        <v>#REF!</v>
      </c>
      <c r="I251" s="3"/>
      <c r="S251" s="1"/>
      <c r="T251" s="1"/>
    </row>
    <row r="252" spans="4:20" x14ac:dyDescent="0.25">
      <c r="D252" s="2" t="e">
        <f>EXP(#REF!)</f>
        <v>#REF!</v>
      </c>
      <c r="I252" s="3"/>
      <c r="S252" s="1"/>
      <c r="T252" s="1"/>
    </row>
    <row r="253" spans="4:20" x14ac:dyDescent="0.25">
      <c r="D253" s="2" t="e">
        <f>EXP(#REF!)</f>
        <v>#REF!</v>
      </c>
      <c r="I253" s="3"/>
      <c r="S253" s="1"/>
      <c r="T253" s="1"/>
    </row>
    <row r="254" spans="4:20" x14ac:dyDescent="0.25">
      <c r="D254" s="2" t="e">
        <f>EXP(#REF!)</f>
        <v>#REF!</v>
      </c>
      <c r="I254" s="3"/>
      <c r="S254" s="1"/>
      <c r="T254" s="1"/>
    </row>
    <row r="255" spans="4:20" x14ac:dyDescent="0.25">
      <c r="D255" s="2" t="e">
        <f>EXP(#REF!)</f>
        <v>#REF!</v>
      </c>
      <c r="I255" s="1"/>
      <c r="S255" s="1"/>
      <c r="T255" s="1"/>
    </row>
    <row r="256" spans="4:20" x14ac:dyDescent="0.25">
      <c r="D256" s="2" t="e">
        <f>EXP(#REF!)</f>
        <v>#REF!</v>
      </c>
      <c r="I256" s="3"/>
      <c r="R256" s="2"/>
      <c r="S256" s="1"/>
      <c r="T256" s="1"/>
    </row>
    <row r="257" spans="4:20" x14ac:dyDescent="0.25">
      <c r="D257" s="2" t="e">
        <f>EXP(#REF!)</f>
        <v>#REF!</v>
      </c>
      <c r="I257" s="3"/>
      <c r="R257" s="2"/>
      <c r="S257" s="1"/>
      <c r="T257" s="1"/>
    </row>
    <row r="258" spans="4:20" x14ac:dyDescent="0.25">
      <c r="D258" s="2" t="e">
        <f>EXP(#REF!)</f>
        <v>#REF!</v>
      </c>
      <c r="I258" s="3"/>
      <c r="R258" s="2"/>
      <c r="S258" s="1"/>
      <c r="T258" s="1"/>
    </row>
    <row r="259" spans="4:20" x14ac:dyDescent="0.25">
      <c r="D259" s="2" t="e">
        <f>EXP(#REF!)</f>
        <v>#REF!</v>
      </c>
      <c r="I259" s="3"/>
      <c r="R259" s="2"/>
      <c r="S259" s="1"/>
      <c r="T259" s="1"/>
    </row>
    <row r="260" spans="4:20" x14ac:dyDescent="0.25">
      <c r="D260" s="2" t="e">
        <f>EXP(#REF!)</f>
        <v>#REF!</v>
      </c>
      <c r="I260" s="3"/>
      <c r="R260" s="2"/>
      <c r="S260" s="1"/>
      <c r="T260" s="1"/>
    </row>
    <row r="261" spans="4:20" x14ac:dyDescent="0.25">
      <c r="D261" s="2" t="e">
        <f>EXP(#REF!)</f>
        <v>#REF!</v>
      </c>
      <c r="I261" s="3"/>
      <c r="R261" s="2"/>
      <c r="S261" s="1"/>
      <c r="T261" s="1"/>
    </row>
    <row r="262" spans="4:20" x14ac:dyDescent="0.25">
      <c r="D262" s="2" t="e">
        <f>EXP(#REF!)</f>
        <v>#REF!</v>
      </c>
      <c r="I262" s="3"/>
      <c r="R262" s="2"/>
      <c r="S262" s="1"/>
      <c r="T262" s="1"/>
    </row>
    <row r="263" spans="4:20" x14ac:dyDescent="0.25">
      <c r="D263" s="2" t="e">
        <f>EXP(#REF!)</f>
        <v>#REF!</v>
      </c>
      <c r="I263" s="3"/>
      <c r="R263" s="2"/>
      <c r="S263" s="1"/>
      <c r="T263" s="1"/>
    </row>
    <row r="264" spans="4:20" x14ac:dyDescent="0.25">
      <c r="D264" s="2" t="e">
        <f>EXP(#REF!)</f>
        <v>#REF!</v>
      </c>
      <c r="I264" s="3"/>
      <c r="R264" s="2"/>
      <c r="S264" s="1"/>
      <c r="T264" s="1"/>
    </row>
    <row r="265" spans="4:20" x14ac:dyDescent="0.25">
      <c r="D265" s="2" t="e">
        <f>EXP(#REF!)</f>
        <v>#REF!</v>
      </c>
      <c r="I265" s="3"/>
      <c r="R265" s="2"/>
      <c r="S265" s="1"/>
      <c r="T265" s="1"/>
    </row>
    <row r="266" spans="4:20" x14ac:dyDescent="0.25">
      <c r="D266" s="2" t="e">
        <f>EXP(#REF!)</f>
        <v>#REF!</v>
      </c>
      <c r="I266" s="3"/>
      <c r="R266" s="2"/>
      <c r="S266" s="1"/>
      <c r="T266" s="1"/>
    </row>
    <row r="267" spans="4:20" x14ac:dyDescent="0.25">
      <c r="D267" s="2" t="e">
        <f>EXP(#REF!)</f>
        <v>#REF!</v>
      </c>
      <c r="I267" s="3"/>
      <c r="R267" s="2"/>
      <c r="S267" s="1"/>
      <c r="T267" s="1"/>
    </row>
    <row r="268" spans="4:20" x14ac:dyDescent="0.25">
      <c r="D268" s="2" t="e">
        <f>EXP(#REF!)</f>
        <v>#REF!</v>
      </c>
      <c r="I268" s="3"/>
      <c r="R268" s="2"/>
      <c r="S268" s="1"/>
      <c r="T268" s="1"/>
    </row>
    <row r="269" spans="4:20" x14ac:dyDescent="0.25">
      <c r="D269" s="2" t="e">
        <f>EXP(#REF!)</f>
        <v>#REF!</v>
      </c>
      <c r="I269" s="3"/>
      <c r="R269" s="2"/>
      <c r="S269" s="1"/>
      <c r="T269" s="1"/>
    </row>
    <row r="270" spans="4:20" x14ac:dyDescent="0.25">
      <c r="D270" s="2" t="e">
        <f>EXP(#REF!)</f>
        <v>#REF!</v>
      </c>
      <c r="I270" s="3"/>
      <c r="R270" s="2"/>
      <c r="S270" s="1"/>
      <c r="T270" s="1"/>
    </row>
    <row r="271" spans="4:20" x14ac:dyDescent="0.25">
      <c r="D271" s="2" t="e">
        <f>EXP(#REF!)</f>
        <v>#REF!</v>
      </c>
      <c r="I271" s="3"/>
      <c r="R271" s="2"/>
      <c r="S271" s="1"/>
      <c r="T271" s="1"/>
    </row>
    <row r="272" spans="4:20" x14ac:dyDescent="0.25">
      <c r="D272" s="2" t="e">
        <f>EXP(#REF!)</f>
        <v>#REF!</v>
      </c>
      <c r="I272" s="3"/>
      <c r="R272" s="2"/>
      <c r="S272" s="1"/>
      <c r="T272" s="1"/>
    </row>
    <row r="273" spans="4:20" x14ac:dyDescent="0.25">
      <c r="D273" s="2" t="e">
        <f>EXP(#REF!)</f>
        <v>#REF!</v>
      </c>
      <c r="I273" s="3"/>
      <c r="R273" s="2"/>
      <c r="S273" s="1"/>
      <c r="T273" s="1"/>
    </row>
    <row r="274" spans="4:20" x14ac:dyDescent="0.25">
      <c r="D274" s="2" t="e">
        <f>EXP(#REF!)</f>
        <v>#REF!</v>
      </c>
      <c r="I274" s="3"/>
      <c r="R274" s="2"/>
      <c r="S274" s="1"/>
      <c r="T274" s="1"/>
    </row>
    <row r="275" spans="4:20" x14ac:dyDescent="0.25">
      <c r="D275" s="2" t="e">
        <f>EXP(#REF!)</f>
        <v>#REF!</v>
      </c>
      <c r="I275" s="3"/>
      <c r="R275" s="2"/>
      <c r="S275" s="1"/>
      <c r="T275" s="1"/>
    </row>
    <row r="276" spans="4:20" x14ac:dyDescent="0.25">
      <c r="D276" s="2" t="e">
        <f>EXP(#REF!)</f>
        <v>#REF!</v>
      </c>
      <c r="I276" s="3"/>
      <c r="R276" s="2"/>
      <c r="S276" s="1"/>
      <c r="T276" s="1"/>
    </row>
    <row r="277" spans="4:20" x14ac:dyDescent="0.25">
      <c r="D277" s="2" t="e">
        <f>EXP(#REF!)</f>
        <v>#REF!</v>
      </c>
      <c r="I277" s="3"/>
      <c r="R277" s="2"/>
      <c r="S277" s="1"/>
      <c r="T277" s="1"/>
    </row>
    <row r="278" spans="4:20" x14ac:dyDescent="0.25">
      <c r="D278" s="2" t="e">
        <f>EXP(#REF!)</f>
        <v>#REF!</v>
      </c>
      <c r="I278" s="3"/>
      <c r="R278" s="2"/>
      <c r="S278" s="1"/>
      <c r="T278" s="1"/>
    </row>
    <row r="279" spans="4:20" x14ac:dyDescent="0.25">
      <c r="D279" s="2" t="e">
        <f>EXP(#REF!)</f>
        <v>#REF!</v>
      </c>
      <c r="I279" s="3"/>
      <c r="R279" s="2"/>
      <c r="S279" s="1"/>
      <c r="T279" s="1"/>
    </row>
    <row r="280" spans="4:20" x14ac:dyDescent="0.25">
      <c r="D280" s="2" t="e">
        <f>EXP(#REF!)</f>
        <v>#REF!</v>
      </c>
      <c r="I280" s="3"/>
      <c r="R280" s="2"/>
      <c r="S280" s="1"/>
      <c r="T280" s="1"/>
    </row>
    <row r="281" spans="4:20" x14ac:dyDescent="0.25">
      <c r="D281" s="2" t="e">
        <f>EXP(#REF!)</f>
        <v>#REF!</v>
      </c>
      <c r="I281" s="3"/>
      <c r="R281" s="2"/>
      <c r="S281" s="1"/>
      <c r="T281" s="1"/>
    </row>
    <row r="282" spans="4:20" x14ac:dyDescent="0.25">
      <c r="D282" s="2" t="e">
        <f>EXP(#REF!)</f>
        <v>#REF!</v>
      </c>
      <c r="I282" s="3"/>
      <c r="R282" s="2"/>
      <c r="S282" s="1"/>
      <c r="T282" s="1"/>
    </row>
    <row r="283" spans="4:20" x14ac:dyDescent="0.25">
      <c r="D283" s="2" t="e">
        <f>EXP(#REF!)</f>
        <v>#REF!</v>
      </c>
      <c r="I283" s="3"/>
      <c r="R283" s="2"/>
      <c r="S283" s="1"/>
      <c r="T283" s="1"/>
    </row>
    <row r="284" spans="4:20" x14ac:dyDescent="0.25">
      <c r="D284" s="2" t="e">
        <f>EXP(#REF!)</f>
        <v>#REF!</v>
      </c>
      <c r="I284" s="3"/>
      <c r="S284" s="1"/>
      <c r="T284" s="1"/>
    </row>
    <row r="285" spans="4:20" x14ac:dyDescent="0.25">
      <c r="D285" s="2" t="e">
        <f>EXP(#REF!)</f>
        <v>#REF!</v>
      </c>
      <c r="I285" s="3"/>
      <c r="S285" s="1"/>
      <c r="T285" s="1"/>
    </row>
    <row r="286" spans="4:20" x14ac:dyDescent="0.25">
      <c r="D286" s="2" t="e">
        <f>EXP(#REF!)</f>
        <v>#REF!</v>
      </c>
      <c r="I286" s="3"/>
      <c r="S286" s="1"/>
      <c r="T286" s="1"/>
    </row>
    <row r="287" spans="4:20" x14ac:dyDescent="0.25">
      <c r="D287" s="2" t="e">
        <f>EXP(#REF!)</f>
        <v>#REF!</v>
      </c>
      <c r="I287" s="3"/>
      <c r="S287" s="1"/>
      <c r="T287" s="1"/>
    </row>
    <row r="288" spans="4:20" x14ac:dyDescent="0.25">
      <c r="D288" s="2" t="e">
        <f>EXP(#REF!)</f>
        <v>#REF!</v>
      </c>
      <c r="I288" s="3"/>
      <c r="S288" s="1"/>
      <c r="T288" s="1"/>
    </row>
    <row r="289" spans="4:20" x14ac:dyDescent="0.25">
      <c r="D289" s="2" t="e">
        <f>EXP(#REF!)</f>
        <v>#REF!</v>
      </c>
      <c r="I289" s="3"/>
      <c r="S289" s="1"/>
      <c r="T289" s="1"/>
    </row>
    <row r="290" spans="4:20" x14ac:dyDescent="0.25">
      <c r="D290" s="2" t="e">
        <f>EXP(#REF!)</f>
        <v>#REF!</v>
      </c>
      <c r="I290" s="3"/>
      <c r="S290" s="1"/>
      <c r="T290" s="1"/>
    </row>
    <row r="291" spans="4:20" x14ac:dyDescent="0.25">
      <c r="D291" s="2" t="e">
        <f>EXP(#REF!)</f>
        <v>#REF!</v>
      </c>
      <c r="I291" s="3"/>
      <c r="S291" s="1"/>
      <c r="T291" s="1"/>
    </row>
    <row r="292" spans="4:20" x14ac:dyDescent="0.25">
      <c r="D292" s="2" t="e">
        <f>EXP(#REF!)</f>
        <v>#REF!</v>
      </c>
      <c r="I292" s="3"/>
      <c r="S292" s="1"/>
      <c r="T292" s="1"/>
    </row>
    <row r="293" spans="4:20" x14ac:dyDescent="0.25">
      <c r="D293" s="2" t="e">
        <f>EXP(#REF!)</f>
        <v>#REF!</v>
      </c>
      <c r="I293" s="3"/>
      <c r="S293" s="1"/>
      <c r="T293" s="1"/>
    </row>
    <row r="294" spans="4:20" x14ac:dyDescent="0.25">
      <c r="D294" s="2" t="e">
        <f>EXP(#REF!)</f>
        <v>#REF!</v>
      </c>
      <c r="I294" s="3"/>
      <c r="S294" s="1"/>
      <c r="T294" s="1"/>
    </row>
    <row r="295" spans="4:20" ht="15.75" customHeight="1" x14ac:dyDescent="0.25">
      <c r="D295" s="2" t="e">
        <f>EXP(#REF!)</f>
        <v>#REF!</v>
      </c>
      <c r="I295" s="3"/>
      <c r="S295" s="1"/>
      <c r="T295" s="1"/>
    </row>
    <row r="296" spans="4:20" x14ac:dyDescent="0.25">
      <c r="D296" s="2" t="e">
        <f>EXP(#REF!)</f>
        <v>#REF!</v>
      </c>
      <c r="I296" s="3"/>
      <c r="S296" s="1"/>
      <c r="T296" s="1"/>
    </row>
    <row r="297" spans="4:20" x14ac:dyDescent="0.25">
      <c r="D297" s="2" t="e">
        <f>EXP(#REF!)</f>
        <v>#REF!</v>
      </c>
      <c r="I297" s="3"/>
      <c r="S297" s="1"/>
      <c r="T297" s="1"/>
    </row>
    <row r="298" spans="4:20" x14ac:dyDescent="0.25">
      <c r="D298" s="2" t="e">
        <f>EXP(#REF!)</f>
        <v>#REF!</v>
      </c>
      <c r="I298" s="3"/>
      <c r="T298" s="1"/>
    </row>
    <row r="299" spans="4:20" x14ac:dyDescent="0.25">
      <c r="D299" s="2" t="e">
        <f>EXP(#REF!)</f>
        <v>#REF!</v>
      </c>
      <c r="I299" s="3"/>
      <c r="T299" s="1"/>
    </row>
    <row r="300" spans="4:20" x14ac:dyDescent="0.25">
      <c r="D300" s="2" t="e">
        <f>EXP(#REF!)</f>
        <v>#REF!</v>
      </c>
      <c r="I300" s="3"/>
      <c r="T300" s="1"/>
    </row>
    <row r="301" spans="4:20" x14ac:dyDescent="0.25">
      <c r="D301" s="2" t="e">
        <f>EXP(#REF!)</f>
        <v>#REF!</v>
      </c>
      <c r="I301" s="3"/>
      <c r="T301" s="1"/>
    </row>
    <row r="302" spans="4:20" x14ac:dyDescent="0.25">
      <c r="D302" s="2" t="e">
        <f>EXP(#REF!)</f>
        <v>#REF!</v>
      </c>
      <c r="I302" s="3"/>
      <c r="T302" s="1"/>
    </row>
    <row r="303" spans="4:20" x14ac:dyDescent="0.25">
      <c r="D303" s="2" t="e">
        <f>EXP(#REF!)</f>
        <v>#REF!</v>
      </c>
      <c r="I303" s="3"/>
      <c r="T303" s="1"/>
    </row>
    <row r="304" spans="4:20" x14ac:dyDescent="0.25">
      <c r="D304" s="2" t="e">
        <f>EXP(#REF!)</f>
        <v>#REF!</v>
      </c>
      <c r="I304" s="3"/>
      <c r="T304" s="1"/>
    </row>
    <row r="305" spans="4:20" x14ac:dyDescent="0.25">
      <c r="D305" s="2" t="e">
        <f>EXP(#REF!)</f>
        <v>#REF!</v>
      </c>
      <c r="I305" s="3"/>
      <c r="T305" s="1"/>
    </row>
    <row r="306" spans="4:20" x14ac:dyDescent="0.25">
      <c r="D306" s="2" t="e">
        <f>EXP(#REF!)</f>
        <v>#REF!</v>
      </c>
      <c r="I306" s="3"/>
      <c r="T306" s="1"/>
    </row>
    <row r="307" spans="4:20" x14ac:dyDescent="0.25">
      <c r="D307" s="2" t="e">
        <f>EXP(#REF!)</f>
        <v>#REF!</v>
      </c>
      <c r="I307" s="3"/>
      <c r="T307" s="1"/>
    </row>
    <row r="308" spans="4:20" x14ac:dyDescent="0.25">
      <c r="D308" s="2" t="e">
        <f>EXP(#REF!)</f>
        <v>#REF!</v>
      </c>
      <c r="I308" s="3"/>
      <c r="T308" s="1"/>
    </row>
    <row r="309" spans="4:20" x14ac:dyDescent="0.25">
      <c r="D309" s="2" t="e">
        <f>EXP(#REF!)</f>
        <v>#REF!</v>
      </c>
      <c r="I309" s="3"/>
      <c r="T309" s="1"/>
    </row>
    <row r="310" spans="4:20" x14ac:dyDescent="0.25">
      <c r="D310" s="2" t="e">
        <f>EXP(#REF!)</f>
        <v>#REF!</v>
      </c>
      <c r="I310" s="3"/>
      <c r="T310" s="1"/>
    </row>
    <row r="311" spans="4:20" x14ac:dyDescent="0.25">
      <c r="D311" s="2" t="e">
        <f>EXP(#REF!)</f>
        <v>#REF!</v>
      </c>
      <c r="I311" s="3"/>
      <c r="T311" s="1"/>
    </row>
    <row r="312" spans="4:20" x14ac:dyDescent="0.25">
      <c r="D312" s="2" t="e">
        <f>EXP(#REF!)</f>
        <v>#REF!</v>
      </c>
      <c r="I312" s="3"/>
    </row>
    <row r="313" spans="4:20" x14ac:dyDescent="0.25">
      <c r="D313" s="2" t="e">
        <f>EXP(#REF!)</f>
        <v>#REF!</v>
      </c>
      <c r="I313" s="3"/>
    </row>
    <row r="314" spans="4:20" x14ac:dyDescent="0.25">
      <c r="D314" s="2" t="e">
        <f>EXP(#REF!)</f>
        <v>#REF!</v>
      </c>
      <c r="I314" s="3"/>
    </row>
    <row r="315" spans="4:20" x14ac:dyDescent="0.25">
      <c r="D315" s="2" t="e">
        <f>EXP(#REF!)</f>
        <v>#REF!</v>
      </c>
      <c r="I315" s="3"/>
    </row>
    <row r="316" spans="4:20" x14ac:dyDescent="0.25">
      <c r="D316" s="2" t="e">
        <f>EXP(#REF!)</f>
        <v>#REF!</v>
      </c>
      <c r="I316" s="3"/>
    </row>
    <row r="317" spans="4:20" x14ac:dyDescent="0.25">
      <c r="D317" s="2" t="e">
        <f>EXP(#REF!)</f>
        <v>#REF!</v>
      </c>
      <c r="I317" s="3"/>
    </row>
    <row r="318" spans="4:20" x14ac:dyDescent="0.25">
      <c r="D318" s="2" t="e">
        <f>EXP(#REF!)</f>
        <v>#REF!</v>
      </c>
      <c r="I318" s="3"/>
    </row>
    <row r="319" spans="4:20" x14ac:dyDescent="0.25">
      <c r="D319" s="2" t="e">
        <f>EXP(#REF!)</f>
        <v>#REF!</v>
      </c>
      <c r="I319" s="3"/>
    </row>
    <row r="320" spans="4:20" x14ac:dyDescent="0.25">
      <c r="D320" s="2" t="e">
        <f>EXP(#REF!)</f>
        <v>#REF!</v>
      </c>
      <c r="I320" s="3"/>
    </row>
    <row r="321" spans="4:9" x14ac:dyDescent="0.25">
      <c r="D321" s="2" t="e">
        <f>EXP(#REF!)</f>
        <v>#REF!</v>
      </c>
      <c r="I321" s="3"/>
    </row>
    <row r="322" spans="4:9" x14ac:dyDescent="0.25">
      <c r="D322" s="2" t="e">
        <f>EXP(#REF!)</f>
        <v>#REF!</v>
      </c>
      <c r="I322" s="3"/>
    </row>
    <row r="323" spans="4:9" x14ac:dyDescent="0.25">
      <c r="D323" s="2" t="e">
        <f>EXP(#REF!)</f>
        <v>#REF!</v>
      </c>
      <c r="I323" s="3"/>
    </row>
    <row r="324" spans="4:9" x14ac:dyDescent="0.25">
      <c r="D324" s="2" t="e">
        <f>EXP(#REF!)</f>
        <v>#REF!</v>
      </c>
      <c r="I324" s="3"/>
    </row>
    <row r="325" spans="4:9" x14ac:dyDescent="0.25">
      <c r="D325" s="2" t="e">
        <f>EXP(#REF!)</f>
        <v>#REF!</v>
      </c>
      <c r="I325" s="3"/>
    </row>
    <row r="326" spans="4:9" x14ac:dyDescent="0.25">
      <c r="D326" s="2" t="e">
        <f>EXP(#REF!)</f>
        <v>#REF!</v>
      </c>
      <c r="I326" s="3"/>
    </row>
    <row r="327" spans="4:9" x14ac:dyDescent="0.25">
      <c r="D327" s="2" t="e">
        <f>EXP(#REF!)</f>
        <v>#REF!</v>
      </c>
      <c r="I327" s="3"/>
    </row>
    <row r="328" spans="4:9" x14ac:dyDescent="0.25">
      <c r="D328" s="2" t="e">
        <f>EXP(#REF!)</f>
        <v>#REF!</v>
      </c>
    </row>
    <row r="329" spans="4:9" x14ac:dyDescent="0.25">
      <c r="D329" s="2" t="e">
        <f>EXP(#REF!)</f>
        <v>#REF!</v>
      </c>
    </row>
    <row r="330" spans="4:9" x14ac:dyDescent="0.25">
      <c r="D330" s="2" t="e">
        <f>EXP(#REF!)</f>
        <v>#REF!</v>
      </c>
    </row>
    <row r="331" spans="4:9" x14ac:dyDescent="0.25">
      <c r="D331" s="2" t="e">
        <f>EXP(#REF!)</f>
        <v>#REF!</v>
      </c>
    </row>
    <row r="332" spans="4:9" x14ac:dyDescent="0.25">
      <c r="D332" s="2" t="e">
        <f>EXP(#REF!)</f>
        <v>#REF!</v>
      </c>
    </row>
    <row r="333" spans="4:9" x14ac:dyDescent="0.25">
      <c r="D333" s="2" t="e">
        <f>EXP(#REF!)</f>
        <v>#REF!</v>
      </c>
    </row>
    <row r="334" spans="4:9" x14ac:dyDescent="0.25">
      <c r="D334" s="2" t="e">
        <f>EXP(#REF!)</f>
        <v>#REF!</v>
      </c>
    </row>
    <row r="335" spans="4:9" x14ac:dyDescent="0.25">
      <c r="D335" s="2" t="e">
        <f>EXP(#REF!)</f>
        <v>#REF!</v>
      </c>
    </row>
    <row r="336" spans="4:9" x14ac:dyDescent="0.25">
      <c r="D336" s="2" t="e">
        <f>EXP(#REF!)</f>
        <v>#REF!</v>
      </c>
    </row>
    <row r="337" spans="4:4" x14ac:dyDescent="0.25">
      <c r="D337" s="2" t="e">
        <f>EXP(#REF!)</f>
        <v>#REF!</v>
      </c>
    </row>
    <row r="338" spans="4:4" x14ac:dyDescent="0.25">
      <c r="D338" s="2" t="e">
        <f>EXP(#REF!)</f>
        <v>#REF!</v>
      </c>
    </row>
    <row r="339" spans="4:4" x14ac:dyDescent="0.25">
      <c r="D339" s="2" t="e">
        <f>EXP(#REF!)</f>
        <v>#REF!</v>
      </c>
    </row>
    <row r="340" spans="4:4" x14ac:dyDescent="0.25">
      <c r="D340" s="2" t="e">
        <f>EXP(#REF!)</f>
        <v>#REF!</v>
      </c>
    </row>
    <row r="341" spans="4:4" x14ac:dyDescent="0.25">
      <c r="D341" s="2" t="e">
        <f>EXP(#REF!)</f>
        <v>#REF!</v>
      </c>
    </row>
    <row r="342" spans="4:4" x14ac:dyDescent="0.25">
      <c r="D342" s="2" t="e">
        <f>EXP(#REF!)</f>
        <v>#REF!</v>
      </c>
    </row>
    <row r="343" spans="4:4" x14ac:dyDescent="0.25">
      <c r="D343" s="2" t="e">
        <f>EXP(#REF!)</f>
        <v>#REF!</v>
      </c>
    </row>
    <row r="344" spans="4:4" x14ac:dyDescent="0.25">
      <c r="D344" s="2" t="e">
        <f>EXP(#REF!)</f>
        <v>#REF!</v>
      </c>
    </row>
    <row r="345" spans="4:4" x14ac:dyDescent="0.25">
      <c r="D345" s="2" t="e">
        <f>EXP(#REF!)</f>
        <v>#REF!</v>
      </c>
    </row>
    <row r="346" spans="4:4" x14ac:dyDescent="0.25">
      <c r="D346" s="2" t="e">
        <f>EXP(#REF!)</f>
        <v>#REF!</v>
      </c>
    </row>
    <row r="347" spans="4:4" x14ac:dyDescent="0.25">
      <c r="D347" s="2" t="e">
        <f>EXP(#REF!)</f>
        <v>#REF!</v>
      </c>
    </row>
    <row r="348" spans="4:4" x14ac:dyDescent="0.25">
      <c r="D348" s="2" t="e">
        <f>EXP(#REF!)</f>
        <v>#REF!</v>
      </c>
    </row>
    <row r="349" spans="4:4" x14ac:dyDescent="0.25">
      <c r="D349" s="2" t="e">
        <f>EXP(#REF!)</f>
        <v>#REF!</v>
      </c>
    </row>
    <row r="350" spans="4:4" x14ac:dyDescent="0.25">
      <c r="D350" s="2" t="e">
        <f>EXP(#REF!)</f>
        <v>#REF!</v>
      </c>
    </row>
    <row r="351" spans="4:4" x14ac:dyDescent="0.25">
      <c r="D351" s="2" t="e">
        <f>EXP(#REF!)</f>
        <v>#REF!</v>
      </c>
    </row>
    <row r="352" spans="4:4" x14ac:dyDescent="0.25">
      <c r="D352" s="2" t="e">
        <f>EXP(#REF!)</f>
        <v>#REF!</v>
      </c>
    </row>
    <row r="353" spans="4:12" x14ac:dyDescent="0.25">
      <c r="D353" s="2" t="e">
        <f>EXP(#REF!)</f>
        <v>#REF!</v>
      </c>
    </row>
    <row r="354" spans="4:12" x14ac:dyDescent="0.25">
      <c r="D354" s="2" t="e">
        <f>EXP(#REF!)</f>
        <v>#REF!</v>
      </c>
    </row>
    <row r="355" spans="4:12" x14ac:dyDescent="0.25">
      <c r="D355" s="2" t="e">
        <f>EXP(#REF!)</f>
        <v>#REF!</v>
      </c>
    </row>
    <row r="356" spans="4:12" x14ac:dyDescent="0.25">
      <c r="D356" s="2" t="e">
        <f>EXP(#REF!)</f>
        <v>#REF!</v>
      </c>
    </row>
    <row r="357" spans="4:12" x14ac:dyDescent="0.25">
      <c r="D357" s="2" t="e">
        <f>EXP(#REF!)</f>
        <v>#REF!</v>
      </c>
    </row>
    <row r="358" spans="4:12" x14ac:dyDescent="0.25">
      <c r="D358" s="2" t="e">
        <f>EXP(#REF!)</f>
        <v>#REF!</v>
      </c>
    </row>
    <row r="359" spans="4:12" x14ac:dyDescent="0.25">
      <c r="D359" s="2" t="e">
        <f>EXP(#REF!)</f>
        <v>#REF!</v>
      </c>
    </row>
    <row r="360" spans="4:12" x14ac:dyDescent="0.25">
      <c r="D360" s="2" t="e">
        <f>EXP(#REF!)</f>
        <v>#REF!</v>
      </c>
    </row>
    <row r="361" spans="4:12" x14ac:dyDescent="0.25">
      <c r="D361" s="2" t="e">
        <f>EXP(#REF!)</f>
        <v>#REF!</v>
      </c>
    </row>
    <row r="362" spans="4:12" x14ac:dyDescent="0.25">
      <c r="D362" s="2" t="e">
        <f>EXP(#REF!)</f>
        <v>#REF!</v>
      </c>
      <c r="L362" s="2"/>
    </row>
    <row r="363" spans="4:12" x14ac:dyDescent="0.25">
      <c r="D363" s="2" t="e">
        <f>EXP(#REF!)</f>
        <v>#REF!</v>
      </c>
      <c r="L363" s="2"/>
    </row>
    <row r="364" spans="4:12" x14ac:dyDescent="0.25">
      <c r="D364" s="2" t="e">
        <f>EXP(#REF!)</f>
        <v>#REF!</v>
      </c>
      <c r="L364" s="2"/>
    </row>
    <row r="365" spans="4:12" x14ac:dyDescent="0.25">
      <c r="D365" s="2" t="e">
        <f>EXP(#REF!)</f>
        <v>#REF!</v>
      </c>
      <c r="L365" s="2"/>
    </row>
    <row r="366" spans="4:12" x14ac:dyDescent="0.25">
      <c r="D366" s="2" t="e">
        <f>EXP(#REF!)</f>
        <v>#REF!</v>
      </c>
      <c r="L366" s="2"/>
    </row>
    <row r="367" spans="4:12" x14ac:dyDescent="0.25">
      <c r="D367" s="2" t="e">
        <f>EXP(#REF!)</f>
        <v>#REF!</v>
      </c>
      <c r="L367" s="2"/>
    </row>
    <row r="368" spans="4:12" x14ac:dyDescent="0.25">
      <c r="D368" s="2" t="e">
        <f>EXP(#REF!)</f>
        <v>#REF!</v>
      </c>
      <c r="L368" s="2"/>
    </row>
    <row r="369" spans="4:12" x14ac:dyDescent="0.25">
      <c r="D369" s="2" t="e">
        <f>EXP(#REF!)</f>
        <v>#REF!</v>
      </c>
      <c r="L369" s="2"/>
    </row>
    <row r="370" spans="4:12" x14ac:dyDescent="0.25">
      <c r="D370" s="2" t="e">
        <f>EXP(#REF!)</f>
        <v>#REF!</v>
      </c>
      <c r="L370" s="2"/>
    </row>
    <row r="371" spans="4:12" x14ac:dyDescent="0.25">
      <c r="D371" s="2" t="e">
        <f>EXP(#REF!)</f>
        <v>#REF!</v>
      </c>
      <c r="L371" s="2"/>
    </row>
    <row r="372" spans="4:12" x14ac:dyDescent="0.25">
      <c r="D372" s="2" t="e">
        <f>EXP(#REF!)</f>
        <v>#REF!</v>
      </c>
      <c r="L372" s="2"/>
    </row>
    <row r="373" spans="4:12" x14ac:dyDescent="0.25">
      <c r="D373" s="2" t="e">
        <f>EXP(#REF!)</f>
        <v>#REF!</v>
      </c>
      <c r="L373" s="2"/>
    </row>
    <row r="374" spans="4:12" x14ac:dyDescent="0.25">
      <c r="D374" s="2" t="e">
        <f>EXP(#REF!)</f>
        <v>#REF!</v>
      </c>
      <c r="L374" s="2"/>
    </row>
    <row r="375" spans="4:12" x14ac:dyDescent="0.25">
      <c r="D375" s="2" t="e">
        <f>EXP(#REF!)</f>
        <v>#REF!</v>
      </c>
      <c r="L375" s="2"/>
    </row>
    <row r="376" spans="4:12" x14ac:dyDescent="0.25">
      <c r="D376" s="2" t="e">
        <f>EXP(#REF!)</f>
        <v>#REF!</v>
      </c>
      <c r="L376" s="2"/>
    </row>
    <row r="377" spans="4:12" x14ac:dyDescent="0.25">
      <c r="D377" s="2" t="e">
        <f>EXP(#REF!)</f>
        <v>#REF!</v>
      </c>
      <c r="L377" s="2"/>
    </row>
    <row r="378" spans="4:12" x14ac:dyDescent="0.25">
      <c r="D378" s="2" t="e">
        <f>EXP(#REF!)</f>
        <v>#REF!</v>
      </c>
      <c r="L378" s="2"/>
    </row>
    <row r="379" spans="4:12" x14ac:dyDescent="0.25">
      <c r="D379" s="2" t="e">
        <f>EXP(#REF!)</f>
        <v>#REF!</v>
      </c>
      <c r="L379" s="2"/>
    </row>
    <row r="380" spans="4:12" x14ac:dyDescent="0.25">
      <c r="D380" s="2" t="e">
        <f>EXP(#REF!)</f>
        <v>#REF!</v>
      </c>
      <c r="L380" s="2"/>
    </row>
    <row r="381" spans="4:12" x14ac:dyDescent="0.25">
      <c r="D381" s="2" t="e">
        <f>EXP(#REF!)</f>
        <v>#REF!</v>
      </c>
      <c r="L381" s="2"/>
    </row>
    <row r="382" spans="4:12" x14ac:dyDescent="0.25">
      <c r="D382" s="2" t="e">
        <f>EXP(#REF!)</f>
        <v>#REF!</v>
      </c>
    </row>
    <row r="383" spans="4:12" x14ac:dyDescent="0.25">
      <c r="D383" s="2" t="e">
        <f>EXP(#REF!)</f>
        <v>#REF!</v>
      </c>
    </row>
    <row r="384" spans="4:12" x14ac:dyDescent="0.25">
      <c r="D384" s="2" t="e">
        <f>EXP(#REF!)</f>
        <v>#REF!</v>
      </c>
      <c r="L384" s="2"/>
    </row>
    <row r="385" spans="4:12" x14ac:dyDescent="0.25">
      <c r="D385" s="2" t="e">
        <f>EXP(#REF!)</f>
        <v>#REF!</v>
      </c>
      <c r="L385" s="2"/>
    </row>
    <row r="386" spans="4:12" x14ac:dyDescent="0.25">
      <c r="D386" s="2" t="e">
        <f>EXP(#REF!)</f>
        <v>#REF!</v>
      </c>
      <c r="L386" s="2"/>
    </row>
    <row r="387" spans="4:12" x14ac:dyDescent="0.25">
      <c r="D387" s="2" t="e">
        <f>EXP(#REF!)</f>
        <v>#REF!</v>
      </c>
      <c r="L387" s="2"/>
    </row>
    <row r="388" spans="4:12" x14ac:dyDescent="0.25">
      <c r="L388" s="2"/>
    </row>
    <row r="389" spans="4:12" x14ac:dyDescent="0.25">
      <c r="L389" s="2"/>
    </row>
    <row r="390" spans="4:12" x14ac:dyDescent="0.25">
      <c r="L390" s="2"/>
    </row>
    <row r="391" spans="4:12" x14ac:dyDescent="0.25">
      <c r="L391" s="2"/>
    </row>
    <row r="392" spans="4:12" x14ac:dyDescent="0.25">
      <c r="L392" s="2"/>
    </row>
    <row r="393" spans="4:12" x14ac:dyDescent="0.25">
      <c r="L393" s="2"/>
    </row>
    <row r="394" spans="4:12" x14ac:dyDescent="0.25">
      <c r="L394" s="2"/>
    </row>
    <row r="395" spans="4:12" x14ac:dyDescent="0.25">
      <c r="L395" s="2"/>
    </row>
    <row r="396" spans="4:12" x14ac:dyDescent="0.25">
      <c r="L396" s="2"/>
    </row>
    <row r="397" spans="4:12" x14ac:dyDescent="0.25">
      <c r="L397" s="2"/>
    </row>
    <row r="398" spans="4:12" x14ac:dyDescent="0.25">
      <c r="L398" s="2"/>
    </row>
    <row r="399" spans="4:12" x14ac:dyDescent="0.25">
      <c r="L399" s="2"/>
    </row>
    <row r="400" spans="4:12" x14ac:dyDescent="0.25">
      <c r="L400" s="2"/>
    </row>
    <row r="401" spans="12:12" x14ac:dyDescent="0.25">
      <c r="L401" s="2"/>
    </row>
    <row r="402" spans="12:12" x14ac:dyDescent="0.25">
      <c r="L402" s="2"/>
    </row>
    <row r="403" spans="12:12" x14ac:dyDescent="0.25">
      <c r="L403" s="2"/>
    </row>
    <row r="404" spans="12:12" x14ac:dyDescent="0.25">
      <c r="L404" s="2"/>
    </row>
    <row r="405" spans="12:12" x14ac:dyDescent="0.25">
      <c r="L405" s="2"/>
    </row>
    <row r="406" spans="12:12" x14ac:dyDescent="0.25">
      <c r="L406" s="2"/>
    </row>
    <row r="407" spans="12:12" x14ac:dyDescent="0.25">
      <c r="L407" s="2"/>
    </row>
    <row r="408" spans="12:12" x14ac:dyDescent="0.25">
      <c r="L408" s="2"/>
    </row>
    <row r="409" spans="12:12" x14ac:dyDescent="0.25">
      <c r="L409" s="2"/>
    </row>
    <row r="410" spans="12:12" x14ac:dyDescent="0.25">
      <c r="L410" s="2"/>
    </row>
    <row r="414" spans="12:12" x14ac:dyDescent="0.25">
      <c r="L414" s="2"/>
    </row>
    <row r="415" spans="12:12" x14ac:dyDescent="0.25">
      <c r="L415" s="2"/>
    </row>
    <row r="416" spans="12:12" x14ac:dyDescent="0.25">
      <c r="L416" s="2"/>
    </row>
    <row r="417" spans="12:12" x14ac:dyDescent="0.25">
      <c r="L417" s="2"/>
    </row>
    <row r="418" spans="12:12" x14ac:dyDescent="0.25">
      <c r="L418" s="2"/>
    </row>
    <row r="419" spans="12:12" x14ac:dyDescent="0.25">
      <c r="L419" s="2"/>
    </row>
    <row r="420" spans="12:12" x14ac:dyDescent="0.25">
      <c r="L420" s="2"/>
    </row>
    <row r="421" spans="12:12" x14ac:dyDescent="0.25">
      <c r="L421" s="2"/>
    </row>
    <row r="422" spans="12:12" x14ac:dyDescent="0.25">
      <c r="L422" s="2"/>
    </row>
    <row r="423" spans="12:12" x14ac:dyDescent="0.25">
      <c r="L423" s="2"/>
    </row>
    <row r="424" spans="12:12" x14ac:dyDescent="0.25">
      <c r="L424" s="2"/>
    </row>
    <row r="425" spans="12:12" x14ac:dyDescent="0.25">
      <c r="L425" s="2"/>
    </row>
    <row r="426" spans="12:12" x14ac:dyDescent="0.25">
      <c r="L426" s="2"/>
    </row>
    <row r="427" spans="12:12" x14ac:dyDescent="0.25">
      <c r="L427" s="2"/>
    </row>
    <row r="428" spans="12:12" x14ac:dyDescent="0.25">
      <c r="L428" s="2"/>
    </row>
    <row r="429" spans="12:12" x14ac:dyDescent="0.25">
      <c r="L429" s="2"/>
    </row>
    <row r="430" spans="12:12" x14ac:dyDescent="0.25">
      <c r="L430" s="2"/>
    </row>
    <row r="431" spans="12:12" x14ac:dyDescent="0.25">
      <c r="L431" s="2"/>
    </row>
    <row r="432" spans="12:12" x14ac:dyDescent="0.25">
      <c r="L432" s="2"/>
    </row>
    <row r="433" spans="12:12" x14ac:dyDescent="0.25">
      <c r="L433" s="2"/>
    </row>
    <row r="434" spans="12:12" x14ac:dyDescent="0.25">
      <c r="L434" s="2"/>
    </row>
    <row r="435" spans="12:12" x14ac:dyDescent="0.25">
      <c r="L435" s="2"/>
    </row>
    <row r="436" spans="12:12" x14ac:dyDescent="0.25">
      <c r="L436" s="2"/>
    </row>
    <row r="437" spans="12:12" x14ac:dyDescent="0.25">
      <c r="L437" s="2"/>
    </row>
    <row r="438" spans="12:12" x14ac:dyDescent="0.25">
      <c r="L438" s="2"/>
    </row>
    <row r="439" spans="12:12" x14ac:dyDescent="0.25">
      <c r="L439" s="2"/>
    </row>
    <row r="440" spans="12:12" x14ac:dyDescent="0.25">
      <c r="L440" s="2"/>
    </row>
    <row r="441" spans="12:12" x14ac:dyDescent="0.25">
      <c r="L441" s="2"/>
    </row>
    <row r="442" spans="12:12" x14ac:dyDescent="0.25">
      <c r="L442" s="2"/>
    </row>
    <row r="443" spans="12:12" x14ac:dyDescent="0.25">
      <c r="L443" s="2"/>
    </row>
    <row r="444" spans="12:12" x14ac:dyDescent="0.25">
      <c r="L444" s="2"/>
    </row>
    <row r="483" spans="8:8" x14ac:dyDescent="0.25">
      <c r="H483" s="1"/>
    </row>
    <row r="484" spans="8:8" x14ac:dyDescent="0.25">
      <c r="H484" s="1"/>
    </row>
    <row r="485" spans="8:8" x14ac:dyDescent="0.25">
      <c r="H485" s="1"/>
    </row>
    <row r="486" spans="8:8" x14ac:dyDescent="0.25">
      <c r="H486" s="1"/>
    </row>
    <row r="487" spans="8:8" x14ac:dyDescent="0.25">
      <c r="H487" s="1"/>
    </row>
    <row r="488" spans="8:8" x14ac:dyDescent="0.25">
      <c r="H488" s="1"/>
    </row>
    <row r="489" spans="8:8" x14ac:dyDescent="0.25">
      <c r="H489" s="1"/>
    </row>
    <row r="490" spans="8:8" x14ac:dyDescent="0.25">
      <c r="H490" s="1"/>
    </row>
    <row r="491" spans="8:8" x14ac:dyDescent="0.25">
      <c r="H491" s="1"/>
    </row>
    <row r="492" spans="8:8" x14ac:dyDescent="0.25">
      <c r="H492" s="1"/>
    </row>
    <row r="493" spans="8:8" x14ac:dyDescent="0.25">
      <c r="H493" s="1"/>
    </row>
    <row r="494" spans="8:8" x14ac:dyDescent="0.25">
      <c r="H494" s="1"/>
    </row>
    <row r="495" spans="8:8" x14ac:dyDescent="0.25">
      <c r="H495" s="1"/>
    </row>
    <row r="496" spans="8:8" x14ac:dyDescent="0.25">
      <c r="H496" s="1"/>
    </row>
    <row r="497" spans="8:8" x14ac:dyDescent="0.25">
      <c r="H497" s="1"/>
    </row>
    <row r="498" spans="8:8" x14ac:dyDescent="0.25">
      <c r="H498" s="1"/>
    </row>
    <row r="499" spans="8:8" x14ac:dyDescent="0.25">
      <c r="H499" s="1"/>
    </row>
    <row r="500" spans="8:8" x14ac:dyDescent="0.25">
      <c r="H500" s="1"/>
    </row>
    <row r="501" spans="8:8" x14ac:dyDescent="0.25">
      <c r="H501" s="1"/>
    </row>
    <row r="502" spans="8:8" x14ac:dyDescent="0.25">
      <c r="H502" s="1"/>
    </row>
    <row r="503" spans="8:8" x14ac:dyDescent="0.25">
      <c r="H503" s="1"/>
    </row>
    <row r="504" spans="8:8" x14ac:dyDescent="0.25">
      <c r="H504" s="1"/>
    </row>
    <row r="505" spans="8:8" x14ac:dyDescent="0.25">
      <c r="H505" s="1"/>
    </row>
    <row r="506" spans="8:8" x14ac:dyDescent="0.25">
      <c r="H506" s="1"/>
    </row>
    <row r="507" spans="8:8" x14ac:dyDescent="0.25">
      <c r="H507" s="1"/>
    </row>
    <row r="508" spans="8:8" x14ac:dyDescent="0.25">
      <c r="H508" s="1"/>
    </row>
    <row r="509" spans="8:8" x14ac:dyDescent="0.25">
      <c r="H509" s="1"/>
    </row>
    <row r="510" spans="8:8" x14ac:dyDescent="0.25">
      <c r="H510" s="1"/>
    </row>
    <row r="511" spans="8:8" x14ac:dyDescent="0.25">
      <c r="H511" s="1"/>
    </row>
    <row r="512" spans="8:8" x14ac:dyDescent="0.25">
      <c r="H512" s="1"/>
    </row>
    <row r="513" spans="8:8" x14ac:dyDescent="0.25">
      <c r="H513" s="1"/>
    </row>
    <row r="514" spans="8:8" x14ac:dyDescent="0.25">
      <c r="H514" s="1"/>
    </row>
    <row r="515" spans="8:8" x14ac:dyDescent="0.25">
      <c r="H515" s="1"/>
    </row>
    <row r="516" spans="8:8" x14ac:dyDescent="0.25">
      <c r="H516" s="1"/>
    </row>
    <row r="517" spans="8:8" x14ac:dyDescent="0.25">
      <c r="H517" s="1"/>
    </row>
    <row r="518" spans="8:8" x14ac:dyDescent="0.25">
      <c r="H518" s="1"/>
    </row>
    <row r="519" spans="8:8" x14ac:dyDescent="0.25">
      <c r="H519" s="1"/>
    </row>
    <row r="520" spans="8:8" x14ac:dyDescent="0.25">
      <c r="H520" s="1"/>
    </row>
    <row r="521" spans="8:8" x14ac:dyDescent="0.25">
      <c r="H521" s="1"/>
    </row>
    <row r="522" spans="8:8" x14ac:dyDescent="0.25">
      <c r="H522" s="1"/>
    </row>
    <row r="523" spans="8:8" x14ac:dyDescent="0.25">
      <c r="H523" s="1"/>
    </row>
    <row r="524" spans="8:8" x14ac:dyDescent="0.25">
      <c r="H524" s="1"/>
    </row>
    <row r="525" spans="8:8" x14ac:dyDescent="0.25">
      <c r="H525" s="1"/>
    </row>
    <row r="526" spans="8:8" x14ac:dyDescent="0.25">
      <c r="H526" s="1"/>
    </row>
    <row r="527" spans="8:8" x14ac:dyDescent="0.25">
      <c r="H527" s="1"/>
    </row>
    <row r="528" spans="8:8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x14ac:dyDescent="0.25">
      <c r="H547" s="1"/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x14ac:dyDescent="0.25">
      <c r="H571" s="1"/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</sheetData>
  <conditionalFormatting sqref="E1:E1048576">
    <cfRule type="cellIs" dxfId="4" priority="1" operator="lessThan">
      <formula>0.05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BF6E-667E-4FEE-B3D6-BA41E0CB3669}">
  <dimension ref="B2:H40"/>
  <sheetViews>
    <sheetView topLeftCell="A13" zoomScale="115" zoomScaleNormal="115" workbookViewId="0">
      <selection activeCell="H39" sqref="H39:H40"/>
    </sheetView>
  </sheetViews>
  <sheetFormatPr defaultRowHeight="15" x14ac:dyDescent="0.25"/>
  <cols>
    <col min="1" max="1" width="8.140625" customWidth="1"/>
    <col min="2" max="2" width="17.85546875" customWidth="1"/>
    <col min="7" max="7" width="9.140625" style="4"/>
    <col min="8" max="8" width="9.140625" style="2"/>
  </cols>
  <sheetData>
    <row r="2" spans="2:8" x14ac:dyDescent="0.25">
      <c r="B2">
        <v>0.29137312199999998</v>
      </c>
      <c r="C2">
        <v>1.4250524200000001</v>
      </c>
      <c r="D2">
        <v>0.20446484500000001</v>
      </c>
      <c r="E2">
        <v>482.96390000000002</v>
      </c>
      <c r="F2" s="1">
        <v>0.83807640000000005</v>
      </c>
    </row>
    <row r="3" spans="2:8" x14ac:dyDescent="0.25">
      <c r="B3" t="s">
        <v>1</v>
      </c>
      <c r="C3">
        <v>0.38048659600000001</v>
      </c>
      <c r="D3">
        <v>9.5968410000000004E-2</v>
      </c>
      <c r="E3">
        <v>3.9647064689999998</v>
      </c>
      <c r="F3">
        <v>482.96390000000002</v>
      </c>
      <c r="G3" s="4">
        <v>8.4602580000000001E-5</v>
      </c>
      <c r="H3" s="2">
        <f>EXP(C3)</f>
        <v>1.4629963044110923</v>
      </c>
    </row>
    <row r="4" spans="2:8" x14ac:dyDescent="0.25">
      <c r="B4" t="s">
        <v>2</v>
      </c>
      <c r="C4">
        <v>-0.16244376599999999</v>
      </c>
      <c r="D4">
        <v>0.34997574999999997</v>
      </c>
      <c r="E4">
        <v>-0.46415721199999999</v>
      </c>
      <c r="F4">
        <v>482.96390000000002</v>
      </c>
      <c r="G4" s="4">
        <v>0.64274430000000005</v>
      </c>
      <c r="H4" s="2">
        <f t="shared" ref="H4:H40" si="0">EXP(C4)</f>
        <v>0.85006389137422822</v>
      </c>
    </row>
    <row r="5" spans="2:8" x14ac:dyDescent="0.25">
      <c r="B5" t="s">
        <v>3</v>
      </c>
      <c r="C5">
        <v>-7.2881179999999997E-3</v>
      </c>
      <c r="D5">
        <v>1.5756510000000001E-2</v>
      </c>
      <c r="E5">
        <v>-0.462546399</v>
      </c>
      <c r="F5">
        <v>482.96390000000002</v>
      </c>
      <c r="G5" s="4">
        <v>0.64389790000000002</v>
      </c>
      <c r="H5" s="2">
        <f t="shared" si="0"/>
        <v>0.99273837592929148</v>
      </c>
    </row>
    <row r="6" spans="2:8" x14ac:dyDescent="0.25">
      <c r="B6" t="s">
        <v>4</v>
      </c>
      <c r="C6">
        <v>-0.79529417999999996</v>
      </c>
      <c r="D6">
        <v>0.10440839</v>
      </c>
      <c r="E6">
        <v>-7.6171480410000001</v>
      </c>
      <c r="F6">
        <v>482.96390000000002</v>
      </c>
      <c r="G6" s="4">
        <v>1.3788970000000001E-13</v>
      </c>
      <c r="H6" s="2">
        <f t="shared" si="0"/>
        <v>0.45144840829332955</v>
      </c>
    </row>
    <row r="7" spans="2:8" x14ac:dyDescent="0.25">
      <c r="B7" t="s">
        <v>5</v>
      </c>
      <c r="C7">
        <v>-0.56823499</v>
      </c>
      <c r="D7">
        <v>0.48439212999999998</v>
      </c>
      <c r="E7">
        <v>-1.1730888079999999</v>
      </c>
      <c r="F7">
        <v>482.96390000000002</v>
      </c>
      <c r="G7" s="4">
        <v>0.24133840000000001</v>
      </c>
      <c r="H7" s="2">
        <f t="shared" si="0"/>
        <v>0.56652447815205254</v>
      </c>
    </row>
    <row r="8" spans="2:8" x14ac:dyDescent="0.25">
      <c r="B8" t="s">
        <v>56</v>
      </c>
      <c r="C8">
        <v>3.7521423999999998E-2</v>
      </c>
      <c r="D8">
        <v>0.31721272</v>
      </c>
      <c r="E8">
        <v>0.11828474</v>
      </c>
      <c r="F8">
        <v>482.96390000000002</v>
      </c>
      <c r="G8" s="4">
        <v>0.90589120000000001</v>
      </c>
      <c r="H8" s="2">
        <f t="shared" si="0"/>
        <v>1.0382342399739155</v>
      </c>
    </row>
    <row r="9" spans="2:8" x14ac:dyDescent="0.25">
      <c r="B9" t="s">
        <v>6</v>
      </c>
      <c r="C9">
        <v>0.52168579199999998</v>
      </c>
      <c r="D9">
        <v>0.97317591000000003</v>
      </c>
      <c r="E9">
        <v>0.53606525599999999</v>
      </c>
      <c r="F9">
        <v>482.96390000000002</v>
      </c>
      <c r="G9" s="4">
        <v>0.59216020000000003</v>
      </c>
      <c r="H9" s="2">
        <f t="shared" si="0"/>
        <v>1.6848655898708529</v>
      </c>
    </row>
    <row r="10" spans="2:8" x14ac:dyDescent="0.25">
      <c r="B10" t="s">
        <v>7</v>
      </c>
      <c r="C10">
        <v>-0.38300275700000003</v>
      </c>
      <c r="D10">
        <v>0.20584358999999999</v>
      </c>
      <c r="E10">
        <v>-1.860649448</v>
      </c>
      <c r="F10">
        <v>482.96390000000002</v>
      </c>
      <c r="G10" s="4">
        <v>6.3401219999999994E-2</v>
      </c>
      <c r="H10" s="2">
        <f t="shared" si="0"/>
        <v>0.68181101953041845</v>
      </c>
    </row>
    <row r="11" spans="2:8" x14ac:dyDescent="0.25">
      <c r="B11" t="s">
        <v>10</v>
      </c>
      <c r="C11">
        <v>1.1555135000000001</v>
      </c>
      <c r="D11">
        <v>0.82095048000000004</v>
      </c>
      <c r="E11">
        <v>1.407531305</v>
      </c>
      <c r="F11">
        <v>482.96390000000002</v>
      </c>
      <c r="G11" s="4">
        <v>0.15991320000000001</v>
      </c>
      <c r="H11" s="2">
        <f t="shared" si="0"/>
        <v>3.1756536970909557</v>
      </c>
    </row>
    <row r="12" spans="2:8" x14ac:dyDescent="0.25">
      <c r="B12" t="s">
        <v>11</v>
      </c>
      <c r="C12">
        <v>0.59581584200000004</v>
      </c>
      <c r="D12">
        <v>0.74994967999999995</v>
      </c>
      <c r="E12">
        <v>0.79447442599999996</v>
      </c>
      <c r="F12">
        <v>482.96390000000002</v>
      </c>
      <c r="G12" s="4">
        <v>0.42730950000000001</v>
      </c>
      <c r="H12" s="2">
        <f t="shared" si="0"/>
        <v>1.8145106952915131</v>
      </c>
    </row>
    <row r="13" spans="2:8" x14ac:dyDescent="0.25">
      <c r="B13" t="s">
        <v>57</v>
      </c>
      <c r="C13">
        <v>1.177811897</v>
      </c>
      <c r="D13">
        <v>0.79669833000000001</v>
      </c>
      <c r="E13">
        <v>1.4783662230000001</v>
      </c>
      <c r="F13">
        <v>482.96390000000002</v>
      </c>
      <c r="G13" s="4">
        <v>0.13996159999999999</v>
      </c>
      <c r="H13" s="2">
        <f t="shared" si="0"/>
        <v>3.2472610818919159</v>
      </c>
    </row>
    <row r="14" spans="2:8" x14ac:dyDescent="0.25">
      <c r="B14" t="s">
        <v>14</v>
      </c>
      <c r="C14">
        <v>1.0935346880000001</v>
      </c>
      <c r="D14">
        <v>0.82649815999999998</v>
      </c>
      <c r="E14">
        <v>1.3230939159999999</v>
      </c>
      <c r="F14">
        <v>482.96390000000002</v>
      </c>
      <c r="G14" s="4">
        <v>0.18643019999999999</v>
      </c>
      <c r="H14" s="2">
        <f t="shared" si="0"/>
        <v>2.9848058056660705</v>
      </c>
    </row>
    <row r="15" spans="2:8" x14ac:dyDescent="0.25">
      <c r="B15" t="s">
        <v>15</v>
      </c>
      <c r="C15">
        <v>6.6902103000000004E-2</v>
      </c>
      <c r="D15">
        <v>0.73693034999999996</v>
      </c>
      <c r="E15">
        <v>9.0784839000000006E-2</v>
      </c>
      <c r="F15">
        <v>482.96390000000002</v>
      </c>
      <c r="G15" s="4">
        <v>0.9277012</v>
      </c>
      <c r="H15" s="2">
        <f t="shared" si="0"/>
        <v>1.0691908024789751</v>
      </c>
    </row>
    <row r="16" spans="2:8" x14ac:dyDescent="0.25">
      <c r="B16" t="s">
        <v>16</v>
      </c>
      <c r="C16">
        <v>-1.6406700000000001E-3</v>
      </c>
      <c r="D16">
        <v>0.86996560000000001</v>
      </c>
      <c r="E16">
        <v>-1.885903E-3</v>
      </c>
      <c r="F16">
        <v>482.96390000000002</v>
      </c>
      <c r="G16" s="4">
        <v>0.99849600000000005</v>
      </c>
      <c r="H16" s="2">
        <f t="shared" si="0"/>
        <v>0.99836067516326754</v>
      </c>
    </row>
    <row r="17" spans="2:8" x14ac:dyDescent="0.25">
      <c r="B17" t="s">
        <v>17</v>
      </c>
      <c r="C17">
        <v>1.4690538580000001</v>
      </c>
      <c r="D17">
        <v>0.91212673</v>
      </c>
      <c r="E17">
        <v>1.6105808720000001</v>
      </c>
      <c r="F17">
        <v>482.96390000000002</v>
      </c>
      <c r="G17" s="4">
        <v>0.1079244</v>
      </c>
      <c r="H17" s="2">
        <f t="shared" si="0"/>
        <v>4.345122093098448</v>
      </c>
    </row>
    <row r="18" spans="2:8" x14ac:dyDescent="0.25">
      <c r="B18" t="s">
        <v>19</v>
      </c>
      <c r="C18">
        <v>-9.3599696999999996E-2</v>
      </c>
      <c r="D18">
        <v>0.41165622000000002</v>
      </c>
      <c r="E18">
        <v>-0.227373457</v>
      </c>
      <c r="F18">
        <v>482.96390000000002</v>
      </c>
      <c r="G18" s="4">
        <v>0.8202296</v>
      </c>
      <c r="H18" s="2">
        <f t="shared" si="0"/>
        <v>0.91064722410406196</v>
      </c>
    </row>
    <row r="19" spans="2:8" x14ac:dyDescent="0.25">
      <c r="B19" t="s">
        <v>20</v>
      </c>
      <c r="C19">
        <v>-0.20562160199999999</v>
      </c>
      <c r="D19">
        <v>0.37146701999999998</v>
      </c>
      <c r="E19">
        <v>-0.55353931999999995</v>
      </c>
      <c r="F19">
        <v>482.96390000000002</v>
      </c>
      <c r="G19" s="4">
        <v>0.58015030000000001</v>
      </c>
      <c r="H19" s="2">
        <f t="shared" si="0"/>
        <v>0.81414108736303314</v>
      </c>
    </row>
    <row r="20" spans="2:8" x14ac:dyDescent="0.25">
      <c r="B20" t="s">
        <v>21</v>
      </c>
      <c r="C20">
        <v>3.8776453000000002E-2</v>
      </c>
      <c r="D20">
        <v>0.30637797</v>
      </c>
      <c r="E20">
        <v>0.12656410300000001</v>
      </c>
      <c r="F20">
        <v>482.96390000000002</v>
      </c>
      <c r="G20" s="4">
        <v>0.89933810000000003</v>
      </c>
      <c r="H20" s="2">
        <f t="shared" si="0"/>
        <v>1.0395380720562744</v>
      </c>
    </row>
    <row r="21" spans="2:8" x14ac:dyDescent="0.25">
      <c r="B21" t="s">
        <v>64</v>
      </c>
      <c r="C21">
        <v>-0.58311818100000001</v>
      </c>
      <c r="D21">
        <v>0.33005909</v>
      </c>
      <c r="E21">
        <v>-1.766708443</v>
      </c>
      <c r="F21">
        <v>482.96390000000002</v>
      </c>
      <c r="G21" s="4">
        <v>7.7908649999999996E-2</v>
      </c>
      <c r="H21" s="2">
        <f t="shared" si="0"/>
        <v>0.55815522125053818</v>
      </c>
    </row>
    <row r="22" spans="2:8" x14ac:dyDescent="0.25">
      <c r="B22" t="s">
        <v>65</v>
      </c>
      <c r="C22">
        <v>0.223910727</v>
      </c>
      <c r="D22">
        <v>0.57300331999999998</v>
      </c>
      <c r="E22">
        <v>0.39076689100000001</v>
      </c>
      <c r="F22">
        <v>482.96390000000002</v>
      </c>
      <c r="G22" s="4">
        <v>0.69614189999999998</v>
      </c>
      <c r="H22" s="2">
        <f t="shared" si="0"/>
        <v>1.2509593375504071</v>
      </c>
    </row>
    <row r="23" spans="2:8" x14ac:dyDescent="0.25">
      <c r="B23" t="s">
        <v>66</v>
      </c>
      <c r="C23">
        <v>-0.171188654</v>
      </c>
      <c r="D23">
        <v>0.36874655000000001</v>
      </c>
      <c r="E23">
        <v>-0.46424475500000001</v>
      </c>
      <c r="F23">
        <v>482.96390000000002</v>
      </c>
      <c r="G23" s="4">
        <v>0.64268159999999996</v>
      </c>
      <c r="H23" s="2">
        <f>EXP(C23)</f>
        <v>0.84266258680770478</v>
      </c>
    </row>
    <row r="24" spans="2:8" x14ac:dyDescent="0.25">
      <c r="B24" t="s">
        <v>67</v>
      </c>
      <c r="C24">
        <v>-0.74044615499999999</v>
      </c>
      <c r="D24">
        <v>0.48034248000000002</v>
      </c>
      <c r="E24">
        <v>-1.5414962999999999</v>
      </c>
      <c r="F24">
        <v>482.96390000000002</v>
      </c>
      <c r="G24" s="4">
        <v>0.123851</v>
      </c>
      <c r="H24" s="2">
        <f t="shared" si="0"/>
        <v>0.47690109624077831</v>
      </c>
    </row>
    <row r="25" spans="2:8" x14ac:dyDescent="0.25">
      <c r="B25" t="s">
        <v>23</v>
      </c>
      <c r="C25">
        <v>2.6728754E-2</v>
      </c>
      <c r="D25">
        <v>4.111012E-2</v>
      </c>
      <c r="E25">
        <v>0.65017449000000005</v>
      </c>
      <c r="F25">
        <v>482.96390000000002</v>
      </c>
      <c r="G25" s="4">
        <v>0.51588869999999998</v>
      </c>
      <c r="H25" s="2">
        <f t="shared" si="0"/>
        <v>1.0270891711470251</v>
      </c>
    </row>
    <row r="26" spans="2:8" x14ac:dyDescent="0.25">
      <c r="B26" t="s">
        <v>25</v>
      </c>
      <c r="C26">
        <v>-0.20974204099999999</v>
      </c>
      <c r="D26">
        <v>0.42140530999999998</v>
      </c>
      <c r="E26">
        <v>-0.49772044999999998</v>
      </c>
      <c r="F26">
        <v>482.96390000000002</v>
      </c>
      <c r="G26" s="4">
        <v>0.6189076</v>
      </c>
      <c r="H26" s="2">
        <f t="shared" si="0"/>
        <v>0.81079337044330368</v>
      </c>
    </row>
    <row r="27" spans="2:8" x14ac:dyDescent="0.25">
      <c r="B27" t="s">
        <v>26</v>
      </c>
      <c r="C27">
        <v>-0.24191585500000001</v>
      </c>
      <c r="D27">
        <v>0.60642004000000005</v>
      </c>
      <c r="E27">
        <v>-0.39892457399999998</v>
      </c>
      <c r="F27">
        <v>482.96390000000002</v>
      </c>
      <c r="G27" s="4">
        <v>0.69012510000000005</v>
      </c>
      <c r="H27" s="2">
        <f t="shared" si="0"/>
        <v>0.78512223888321597</v>
      </c>
    </row>
    <row r="28" spans="2:8" x14ac:dyDescent="0.25">
      <c r="B28" t="s">
        <v>27</v>
      </c>
      <c r="C28">
        <v>-8.5598075999999995E-2</v>
      </c>
      <c r="D28">
        <v>0.41117619999999999</v>
      </c>
      <c r="E28">
        <v>-0.20817857400000001</v>
      </c>
      <c r="F28">
        <v>482.96390000000002</v>
      </c>
      <c r="G28" s="4">
        <v>0.83517730000000001</v>
      </c>
      <c r="H28" s="2">
        <f t="shared" si="0"/>
        <v>0.91796310848928786</v>
      </c>
    </row>
    <row r="29" spans="2:8" x14ac:dyDescent="0.25">
      <c r="B29" t="s">
        <v>28</v>
      </c>
      <c r="C29">
        <v>0.403402704</v>
      </c>
      <c r="D29">
        <v>0.52711469</v>
      </c>
      <c r="E29">
        <v>0.76530347700000001</v>
      </c>
      <c r="F29">
        <v>482.96390000000002</v>
      </c>
      <c r="G29" s="4">
        <v>0.44446469999999999</v>
      </c>
      <c r="H29" s="2">
        <f t="shared" si="0"/>
        <v>1.4969095817787983</v>
      </c>
    </row>
    <row r="30" spans="2:8" x14ac:dyDescent="0.25">
      <c r="B30" t="s">
        <v>29</v>
      </c>
      <c r="C30">
        <v>-7.3135322000000003E-2</v>
      </c>
      <c r="D30">
        <v>0.51567554000000004</v>
      </c>
      <c r="E30">
        <v>-0.14182429999999999</v>
      </c>
      <c r="F30">
        <v>482.96390000000002</v>
      </c>
      <c r="G30" s="4">
        <v>0.88727789999999995</v>
      </c>
      <c r="H30" s="2">
        <f t="shared" si="0"/>
        <v>0.92947504309333351</v>
      </c>
    </row>
    <row r="31" spans="2:8" x14ac:dyDescent="0.25">
      <c r="B31" t="s">
        <v>58</v>
      </c>
      <c r="C31">
        <v>-0.27816215399999999</v>
      </c>
      <c r="D31">
        <v>0.37069742999999999</v>
      </c>
      <c r="E31">
        <v>-0.75037518000000003</v>
      </c>
      <c r="F31">
        <v>482.96390000000002</v>
      </c>
      <c r="G31" s="4">
        <v>0.45339420000000002</v>
      </c>
      <c r="H31" s="2">
        <f t="shared" si="0"/>
        <v>0.75717403276115247</v>
      </c>
    </row>
    <row r="32" spans="2:8" x14ac:dyDescent="0.25">
      <c r="B32" t="s">
        <v>31</v>
      </c>
      <c r="C32">
        <v>-0.937300358</v>
      </c>
      <c r="D32">
        <v>0.53382328000000001</v>
      </c>
      <c r="E32">
        <v>-1.755825177</v>
      </c>
      <c r="F32">
        <v>482.96390000000002</v>
      </c>
      <c r="G32" s="4">
        <v>7.9752130000000004E-2</v>
      </c>
      <c r="H32" s="2">
        <f t="shared" si="0"/>
        <v>0.39168381541193803</v>
      </c>
    </row>
    <row r="33" spans="2:8" x14ac:dyDescent="0.25">
      <c r="B33" t="s">
        <v>59</v>
      </c>
      <c r="C33">
        <v>-0.25148820900000002</v>
      </c>
      <c r="D33">
        <v>0.78093829000000003</v>
      </c>
      <c r="E33">
        <v>-0.322033395</v>
      </c>
      <c r="F33">
        <v>482.96390000000002</v>
      </c>
      <c r="G33" s="4">
        <v>0.74756670000000003</v>
      </c>
      <c r="H33" s="2">
        <f t="shared" si="0"/>
        <v>0.77764262673992268</v>
      </c>
    </row>
    <row r="34" spans="2:8" x14ac:dyDescent="0.25">
      <c r="B34" t="s">
        <v>33</v>
      </c>
      <c r="C34">
        <v>-0.59116766300000001</v>
      </c>
      <c r="D34">
        <v>0.31477996000000003</v>
      </c>
      <c r="E34">
        <v>-1.878034633</v>
      </c>
      <c r="F34">
        <v>482.96390000000002</v>
      </c>
      <c r="G34" s="4">
        <v>6.0978699999999997E-2</v>
      </c>
      <c r="H34" s="2">
        <f t="shared" si="0"/>
        <v>0.55368039502232247</v>
      </c>
    </row>
    <row r="35" spans="2:8" x14ac:dyDescent="0.25">
      <c r="B35" t="s">
        <v>34</v>
      </c>
      <c r="C35">
        <v>0.61347020299999999</v>
      </c>
      <c r="D35">
        <v>0.34158133000000002</v>
      </c>
      <c r="E35">
        <v>1.7959711030000001</v>
      </c>
      <c r="F35">
        <v>482.96390000000002</v>
      </c>
      <c r="G35" s="4">
        <v>7.3124010000000003E-2</v>
      </c>
      <c r="H35" s="2">
        <f t="shared" si="0"/>
        <v>1.8468291636941596</v>
      </c>
    </row>
    <row r="36" spans="2:8" x14ac:dyDescent="0.25">
      <c r="B36" t="s">
        <v>60</v>
      </c>
      <c r="C36">
        <v>-0.765349426</v>
      </c>
      <c r="D36">
        <v>0.57893819000000002</v>
      </c>
      <c r="E36">
        <v>-1.321988143</v>
      </c>
      <c r="F36">
        <v>482.96390000000002</v>
      </c>
      <c r="G36" s="4">
        <v>0.18679789999999999</v>
      </c>
      <c r="H36" s="2">
        <f t="shared" si="0"/>
        <v>0.4651713596051345</v>
      </c>
    </row>
    <row r="37" spans="2:8" x14ac:dyDescent="0.25">
      <c r="B37" t="s">
        <v>36</v>
      </c>
      <c r="C37">
        <v>-0.142860127</v>
      </c>
      <c r="D37">
        <v>0.66019512999999996</v>
      </c>
      <c r="E37">
        <v>-0.21639076199999999</v>
      </c>
      <c r="F37">
        <v>482.96390000000002</v>
      </c>
      <c r="G37" s="4">
        <v>0.82877449999999997</v>
      </c>
      <c r="H37" s="2">
        <f t="shared" si="0"/>
        <v>0.86687531286654884</v>
      </c>
    </row>
    <row r="38" spans="2:8" x14ac:dyDescent="0.25">
      <c r="B38" t="s">
        <v>61</v>
      </c>
      <c r="C38">
        <v>0.157016816</v>
      </c>
      <c r="D38">
        <v>0.77977609000000003</v>
      </c>
      <c r="E38">
        <v>0.20136141499999999</v>
      </c>
      <c r="F38">
        <v>482.96390000000002</v>
      </c>
      <c r="G38" s="4">
        <v>0.84050080000000005</v>
      </c>
      <c r="H38" s="2">
        <f t="shared" si="0"/>
        <v>1.1700152887125823</v>
      </c>
    </row>
    <row r="39" spans="2:8" x14ac:dyDescent="0.25">
      <c r="B39" t="s">
        <v>38</v>
      </c>
      <c r="C39">
        <v>0.40007504300000002</v>
      </c>
      <c r="D39">
        <v>0.15811433</v>
      </c>
      <c r="E39">
        <v>2.530289561</v>
      </c>
      <c r="F39">
        <v>482.96390000000002</v>
      </c>
      <c r="G39" s="4">
        <v>1.17135E-2</v>
      </c>
      <c r="H39" s="2">
        <f t="shared" si="0"/>
        <v>1.49193665284273</v>
      </c>
    </row>
    <row r="40" spans="2:8" x14ac:dyDescent="0.25">
      <c r="B40" t="s">
        <v>48</v>
      </c>
      <c r="C40">
        <v>1.8789777000000001E-2</v>
      </c>
      <c r="D40">
        <v>1.1304760000000001E-2</v>
      </c>
      <c r="E40">
        <v>1.662112051</v>
      </c>
      <c r="F40">
        <v>482.96390000000002</v>
      </c>
      <c r="G40" s="4">
        <v>9.7139169999999997E-2</v>
      </c>
      <c r="H40" s="2">
        <f t="shared" si="0"/>
        <v>1.0189674157128217</v>
      </c>
    </row>
  </sheetData>
  <conditionalFormatting sqref="G1:G1048576">
    <cfRule type="cellIs" dxfId="3" priority="1" operator="lessThan">
      <formula>0.1</formula>
    </cfRule>
    <cfRule type="cellIs" dxfId="2" priority="2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E81E-8A58-4A7E-BB2F-DC0C4A6C21EE}">
  <dimension ref="C5:J42"/>
  <sheetViews>
    <sheetView topLeftCell="A10" zoomScaleNormal="100" workbookViewId="0">
      <selection activeCell="J41" sqref="J41:J42"/>
    </sheetView>
  </sheetViews>
  <sheetFormatPr defaultRowHeight="15" x14ac:dyDescent="0.25"/>
  <cols>
    <col min="2" max="2" width="4.42578125" customWidth="1"/>
    <col min="3" max="3" width="9.140625" hidden="1" customWidth="1"/>
    <col min="4" max="4" width="20.5703125" customWidth="1"/>
    <col min="9" max="9" width="9.140625" style="4"/>
    <col min="10" max="10" width="11.5703125" style="2" bestFit="1" customWidth="1"/>
  </cols>
  <sheetData>
    <row r="5" spans="3:10" x14ac:dyDescent="0.25">
      <c r="D5" t="s">
        <v>0</v>
      </c>
      <c r="E5">
        <v>-1.1045807649999999</v>
      </c>
      <c r="F5">
        <v>1.80206775</v>
      </c>
      <c r="G5">
        <v>-0.61295184999999996</v>
      </c>
      <c r="H5">
        <v>443.96890000000002</v>
      </c>
      <c r="I5" s="4">
        <v>0.54022199999999998</v>
      </c>
    </row>
    <row r="6" spans="3:10" x14ac:dyDescent="0.25">
      <c r="C6">
        <v>2</v>
      </c>
      <c r="D6" t="s">
        <v>1</v>
      </c>
      <c r="E6">
        <v>5.4344509999999999E-2</v>
      </c>
      <c r="F6">
        <v>0.12491886000000001</v>
      </c>
      <c r="G6">
        <v>0.43503847000000001</v>
      </c>
      <c r="H6">
        <v>443.96890000000002</v>
      </c>
      <c r="I6" s="4">
        <v>0.6637459</v>
      </c>
      <c r="J6" s="2">
        <f t="shared" ref="J6:J42" si="0">EXP(E6)</f>
        <v>1.0558482897987864</v>
      </c>
    </row>
    <row r="7" spans="3:10" x14ac:dyDescent="0.25">
      <c r="C7">
        <v>3</v>
      </c>
      <c r="D7" t="s">
        <v>2</v>
      </c>
      <c r="E7">
        <v>0.52287667599999998</v>
      </c>
      <c r="F7">
        <v>0.49826580999999998</v>
      </c>
      <c r="G7">
        <v>1.0493930499999999</v>
      </c>
      <c r="H7">
        <v>443.96890000000002</v>
      </c>
      <c r="I7" s="4">
        <v>0.2945682</v>
      </c>
      <c r="J7" s="2">
        <f t="shared" si="0"/>
        <v>1.6868732645605387</v>
      </c>
    </row>
    <row r="8" spans="3:10" x14ac:dyDescent="0.25">
      <c r="C8">
        <v>4</v>
      </c>
      <c r="D8" t="s">
        <v>3</v>
      </c>
      <c r="E8">
        <v>4.554303E-3</v>
      </c>
      <c r="F8">
        <v>1.802314E-2</v>
      </c>
      <c r="G8">
        <v>0.25269202000000002</v>
      </c>
      <c r="H8">
        <v>443.96890000000002</v>
      </c>
      <c r="I8" s="4">
        <v>0.80062319999999998</v>
      </c>
      <c r="J8" s="2">
        <f t="shared" si="0"/>
        <v>1.0045646895998293</v>
      </c>
    </row>
    <row r="9" spans="3:10" x14ac:dyDescent="0.25">
      <c r="C9">
        <v>5</v>
      </c>
      <c r="D9" t="s">
        <v>4</v>
      </c>
      <c r="E9">
        <v>-0.88365126900000002</v>
      </c>
      <c r="F9">
        <v>0.13071958</v>
      </c>
      <c r="G9">
        <v>-6.7598998400000001</v>
      </c>
      <c r="H9">
        <v>443.96890000000002</v>
      </c>
      <c r="I9" s="4">
        <v>4.3585140000000001E-11</v>
      </c>
      <c r="J9" s="2">
        <f t="shared" si="0"/>
        <v>0.41327118922659062</v>
      </c>
    </row>
    <row r="10" spans="3:10" x14ac:dyDescent="0.25">
      <c r="C10">
        <v>6</v>
      </c>
      <c r="D10" t="s">
        <v>5</v>
      </c>
      <c r="E10">
        <v>-0.90496448200000001</v>
      </c>
      <c r="F10">
        <v>0.83905901000000005</v>
      </c>
      <c r="G10">
        <v>-1.0785468899999999</v>
      </c>
      <c r="H10">
        <v>443.96890000000002</v>
      </c>
      <c r="I10" s="4">
        <v>0.2813754</v>
      </c>
      <c r="J10" s="2">
        <f t="shared" si="0"/>
        <v>0.40455625387686744</v>
      </c>
    </row>
    <row r="11" spans="3:10" x14ac:dyDescent="0.25">
      <c r="C11">
        <v>7</v>
      </c>
      <c r="D11" t="s">
        <v>56</v>
      </c>
      <c r="E11">
        <v>-0.24926710699999999</v>
      </c>
      <c r="F11">
        <v>0.37861635999999999</v>
      </c>
      <c r="G11">
        <v>-0.65836328</v>
      </c>
      <c r="H11">
        <v>443.96890000000002</v>
      </c>
      <c r="I11" s="4">
        <v>0.51064600000000004</v>
      </c>
      <c r="J11" s="2">
        <f t="shared" si="0"/>
        <v>0.77937176992428825</v>
      </c>
    </row>
    <row r="12" spans="3:10" x14ac:dyDescent="0.25">
      <c r="C12">
        <v>8</v>
      </c>
      <c r="D12" t="s">
        <v>6</v>
      </c>
      <c r="E12">
        <v>-16.930318293999999</v>
      </c>
      <c r="F12">
        <v>0.78809015999999998</v>
      </c>
      <c r="G12">
        <v>-21.482717579999999</v>
      </c>
      <c r="H12">
        <v>443.96890000000002</v>
      </c>
      <c r="I12" s="4">
        <v>0</v>
      </c>
      <c r="J12" s="2">
        <f t="shared" si="0"/>
        <v>4.4387040355489357E-8</v>
      </c>
    </row>
    <row r="13" spans="3:10" x14ac:dyDescent="0.25">
      <c r="C13">
        <v>9</v>
      </c>
      <c r="D13" t="s">
        <v>7</v>
      </c>
      <c r="E13">
        <v>-0.45659218899999998</v>
      </c>
      <c r="F13">
        <v>0.24392078</v>
      </c>
      <c r="G13">
        <v>-1.8718872</v>
      </c>
      <c r="H13">
        <v>443.96890000000002</v>
      </c>
      <c r="I13" s="4">
        <v>6.1879459999999997E-2</v>
      </c>
      <c r="J13" s="2">
        <f t="shared" si="0"/>
        <v>0.6334386106296308</v>
      </c>
    </row>
    <row r="14" spans="3:10" x14ac:dyDescent="0.25">
      <c r="C14">
        <v>10</v>
      </c>
      <c r="D14" t="s">
        <v>11</v>
      </c>
      <c r="E14">
        <v>1.324288994</v>
      </c>
      <c r="F14">
        <v>0.67686632000000002</v>
      </c>
      <c r="G14">
        <v>1.9565000699999999</v>
      </c>
      <c r="H14">
        <v>443.96890000000002</v>
      </c>
      <c r="I14" s="4">
        <v>5.1032760000000003E-2</v>
      </c>
      <c r="J14" s="2">
        <f t="shared" si="0"/>
        <v>3.7595113693619577</v>
      </c>
    </row>
    <row r="15" spans="3:10" x14ac:dyDescent="0.25">
      <c r="C15">
        <v>11</v>
      </c>
      <c r="D15" t="s">
        <v>57</v>
      </c>
      <c r="E15">
        <v>1.023274003</v>
      </c>
      <c r="F15">
        <v>0.64935158000000004</v>
      </c>
      <c r="G15">
        <v>1.5758397</v>
      </c>
      <c r="H15">
        <v>443.96890000000002</v>
      </c>
      <c r="I15" s="4">
        <v>0.115775</v>
      </c>
      <c r="J15" s="2">
        <f t="shared" si="0"/>
        <v>2.7822890912449223</v>
      </c>
    </row>
    <row r="16" spans="3:10" x14ac:dyDescent="0.25">
      <c r="C16">
        <v>12</v>
      </c>
      <c r="D16" t="s">
        <v>13</v>
      </c>
      <c r="E16">
        <v>-3.2225768979999998</v>
      </c>
      <c r="F16">
        <v>1.3624129700000001</v>
      </c>
      <c r="G16">
        <v>-2.3653451400000001</v>
      </c>
      <c r="H16">
        <v>443.96890000000002</v>
      </c>
      <c r="I16" s="4">
        <v>1.844223E-2</v>
      </c>
      <c r="J16" s="2">
        <f t="shared" si="0"/>
        <v>3.9852230695906495E-2</v>
      </c>
    </row>
    <row r="17" spans="3:10" x14ac:dyDescent="0.25">
      <c r="C17">
        <v>13</v>
      </c>
      <c r="D17" t="s">
        <v>14</v>
      </c>
      <c r="E17">
        <v>0.55595611300000003</v>
      </c>
      <c r="F17">
        <v>0.76127425000000004</v>
      </c>
      <c r="G17">
        <v>0.73029675999999999</v>
      </c>
      <c r="H17">
        <v>443.96890000000002</v>
      </c>
      <c r="I17" s="4">
        <v>0.46559400000000001</v>
      </c>
      <c r="J17" s="2">
        <f t="shared" si="0"/>
        <v>1.7436072736481412</v>
      </c>
    </row>
    <row r="18" spans="3:10" x14ac:dyDescent="0.25">
      <c r="C18">
        <v>14</v>
      </c>
      <c r="D18" t="s">
        <v>15</v>
      </c>
      <c r="E18">
        <v>0.33168111500000003</v>
      </c>
      <c r="F18">
        <v>0.57962311</v>
      </c>
      <c r="G18">
        <v>0.57223583</v>
      </c>
      <c r="H18">
        <v>443.96890000000002</v>
      </c>
      <c r="I18" s="4">
        <v>0.56745190000000001</v>
      </c>
      <c r="J18" s="2">
        <f t="shared" si="0"/>
        <v>1.3933084724916081</v>
      </c>
    </row>
    <row r="19" spans="3:10" x14ac:dyDescent="0.25">
      <c r="C19">
        <v>15</v>
      </c>
      <c r="D19" t="s">
        <v>16</v>
      </c>
      <c r="E19">
        <v>-2.4649883109999999</v>
      </c>
      <c r="F19">
        <v>0.79044756999999999</v>
      </c>
      <c r="G19">
        <v>-3.1184716200000002</v>
      </c>
      <c r="H19">
        <v>443.96890000000002</v>
      </c>
      <c r="I19" s="4">
        <v>1.936178E-3</v>
      </c>
      <c r="J19" s="2">
        <f t="shared" si="0"/>
        <v>8.5009836045865553E-2</v>
      </c>
    </row>
    <row r="20" spans="3:10" x14ac:dyDescent="0.25">
      <c r="C20">
        <v>16</v>
      </c>
      <c r="D20" t="s">
        <v>17</v>
      </c>
      <c r="E20">
        <v>0.81660386500000004</v>
      </c>
      <c r="F20">
        <v>0.73529531000000004</v>
      </c>
      <c r="G20">
        <v>1.1105794499999999</v>
      </c>
      <c r="H20">
        <v>443.96890000000002</v>
      </c>
      <c r="I20" s="4">
        <v>0.26735049999999999</v>
      </c>
      <c r="J20" s="2">
        <f t="shared" si="0"/>
        <v>2.2628019924260023</v>
      </c>
    </row>
    <row r="21" spans="3:10" x14ac:dyDescent="0.25">
      <c r="C21">
        <v>17</v>
      </c>
      <c r="D21" t="s">
        <v>19</v>
      </c>
      <c r="E21">
        <v>-1.0046579250000001</v>
      </c>
      <c r="F21">
        <v>0.63243123000000001</v>
      </c>
      <c r="G21">
        <v>-1.5885647000000001</v>
      </c>
      <c r="H21">
        <v>443.96890000000002</v>
      </c>
      <c r="I21" s="4">
        <v>0.1128706</v>
      </c>
      <c r="J21" s="2">
        <f>EXP(E21)</f>
        <v>0.36616987094132053</v>
      </c>
    </row>
    <row r="22" spans="3:10" x14ac:dyDescent="0.25">
      <c r="C22">
        <v>18</v>
      </c>
      <c r="D22" t="s">
        <v>20</v>
      </c>
      <c r="E22">
        <v>0.426479361</v>
      </c>
      <c r="F22">
        <v>0.41754836000000001</v>
      </c>
      <c r="G22">
        <v>1.0213891500000001</v>
      </c>
      <c r="H22">
        <v>443.96890000000002</v>
      </c>
      <c r="I22" s="4">
        <v>0.30762630000000002</v>
      </c>
      <c r="J22" s="2">
        <f t="shared" si="0"/>
        <v>1.531854910663049</v>
      </c>
    </row>
    <row r="23" spans="3:10" x14ac:dyDescent="0.25">
      <c r="C23">
        <v>19</v>
      </c>
      <c r="D23" t="s">
        <v>21</v>
      </c>
      <c r="E23">
        <v>0.36093624000000002</v>
      </c>
      <c r="F23">
        <v>0.40811776999999999</v>
      </c>
      <c r="G23">
        <v>0.88439237000000004</v>
      </c>
      <c r="H23">
        <v>443.96890000000002</v>
      </c>
      <c r="I23" s="4">
        <v>0.3769631</v>
      </c>
      <c r="J23" s="2">
        <f t="shared" si="0"/>
        <v>1.4346719832766273</v>
      </c>
    </row>
    <row r="24" spans="3:10" x14ac:dyDescent="0.25">
      <c r="C24">
        <v>20</v>
      </c>
      <c r="D24" t="s">
        <v>64</v>
      </c>
      <c r="E24">
        <v>0.76733633599999995</v>
      </c>
      <c r="F24">
        <v>0.40990381999999997</v>
      </c>
      <c r="G24">
        <v>1.8719911600000001</v>
      </c>
      <c r="H24">
        <v>443.96890000000002</v>
      </c>
      <c r="I24" s="4">
        <v>6.1865040000000003E-2</v>
      </c>
      <c r="J24" s="2">
        <f t="shared" si="0"/>
        <v>2.1540210172530752</v>
      </c>
    </row>
    <row r="25" spans="3:10" x14ac:dyDescent="0.25">
      <c r="C25">
        <v>21</v>
      </c>
      <c r="D25" t="s">
        <v>65</v>
      </c>
      <c r="E25">
        <v>-8.7504842999999999E-2</v>
      </c>
      <c r="F25">
        <v>0.73847735999999997</v>
      </c>
      <c r="G25">
        <v>-0.1184936</v>
      </c>
      <c r="H25">
        <v>443.96890000000002</v>
      </c>
      <c r="I25" s="4">
        <v>0.90573020000000004</v>
      </c>
      <c r="J25" s="2">
        <f t="shared" si="0"/>
        <v>0.91621443441362704</v>
      </c>
    </row>
    <row r="26" spans="3:10" x14ac:dyDescent="0.25">
      <c r="C26">
        <v>22</v>
      </c>
      <c r="D26" t="s">
        <v>66</v>
      </c>
      <c r="E26">
        <v>0.18380365500000001</v>
      </c>
      <c r="F26">
        <v>0.46064471000000001</v>
      </c>
      <c r="G26">
        <v>0.39901393000000002</v>
      </c>
      <c r="H26">
        <v>443.96890000000002</v>
      </c>
      <c r="I26" s="4">
        <v>0.69007479999999999</v>
      </c>
      <c r="J26" s="2">
        <f t="shared" si="0"/>
        <v>1.2017798364676711</v>
      </c>
    </row>
    <row r="27" spans="3:10" x14ac:dyDescent="0.25">
      <c r="C27">
        <v>23</v>
      </c>
      <c r="D27" t="s">
        <v>67</v>
      </c>
      <c r="E27">
        <v>0.54718331899999995</v>
      </c>
      <c r="F27">
        <v>0.57441112000000005</v>
      </c>
      <c r="G27">
        <v>0.95259875000000005</v>
      </c>
      <c r="H27">
        <v>443.96890000000002</v>
      </c>
      <c r="I27" s="4">
        <v>0.3413117</v>
      </c>
      <c r="J27" s="2">
        <f t="shared" si="0"/>
        <v>1.7283778661205862</v>
      </c>
    </row>
    <row r="28" spans="3:10" x14ac:dyDescent="0.25">
      <c r="C28">
        <v>24</v>
      </c>
      <c r="D28" t="s">
        <v>23</v>
      </c>
      <c r="E28">
        <v>7.6499784000000001E-2</v>
      </c>
      <c r="F28">
        <v>4.4898649999999998E-2</v>
      </c>
      <c r="G28">
        <v>1.7038325700000001</v>
      </c>
      <c r="H28">
        <v>443.96890000000002</v>
      </c>
      <c r="I28" s="4">
        <v>8.9112109999999994E-2</v>
      </c>
      <c r="J28" s="2">
        <f t="shared" si="0"/>
        <v>1.0795019571647175</v>
      </c>
    </row>
    <row r="29" spans="3:10" x14ac:dyDescent="0.25">
      <c r="C29">
        <v>25</v>
      </c>
      <c r="D29" t="s">
        <v>25</v>
      </c>
      <c r="E29">
        <v>2.5979443780000002</v>
      </c>
      <c r="F29">
        <v>1.48220653</v>
      </c>
      <c r="G29">
        <v>1.75275464</v>
      </c>
      <c r="H29">
        <v>443.96890000000002</v>
      </c>
      <c r="I29" s="4">
        <v>8.0334349999999999E-2</v>
      </c>
      <c r="J29" s="2">
        <f t="shared" si="0"/>
        <v>13.436090105476515</v>
      </c>
    </row>
    <row r="30" spans="3:10" x14ac:dyDescent="0.25">
      <c r="C30">
        <v>26</v>
      </c>
      <c r="D30" t="s">
        <v>26</v>
      </c>
      <c r="E30">
        <v>17.300387696000001</v>
      </c>
      <c r="F30">
        <v>1.3025832399999999</v>
      </c>
      <c r="G30">
        <v>13.281598539999999</v>
      </c>
      <c r="H30">
        <v>443.96890000000002</v>
      </c>
      <c r="I30" s="4">
        <v>0</v>
      </c>
      <c r="J30" s="2">
        <f>EXP(E30)</f>
        <v>32618419.300594065</v>
      </c>
    </row>
    <row r="31" spans="3:10" x14ac:dyDescent="0.25">
      <c r="C31">
        <v>27</v>
      </c>
      <c r="D31" t="s">
        <v>27</v>
      </c>
      <c r="E31">
        <v>-17.351511499000001</v>
      </c>
      <c r="F31">
        <v>1.3105795899999999</v>
      </c>
      <c r="G31">
        <v>-13.239570990000001</v>
      </c>
      <c r="H31">
        <v>443.96890000000002</v>
      </c>
      <c r="I31" s="4">
        <v>0</v>
      </c>
      <c r="J31" s="2">
        <f t="shared" si="0"/>
        <v>2.9129585394934254E-8</v>
      </c>
    </row>
    <row r="32" spans="3:10" x14ac:dyDescent="0.25">
      <c r="C32">
        <v>28</v>
      </c>
      <c r="D32" t="s">
        <v>29</v>
      </c>
      <c r="E32">
        <v>0.50299877500000001</v>
      </c>
      <c r="F32">
        <v>1.04459766</v>
      </c>
      <c r="G32">
        <v>0.48152392999999999</v>
      </c>
      <c r="H32">
        <v>443.96890000000002</v>
      </c>
      <c r="I32" s="4">
        <v>0.63038139999999998</v>
      </c>
      <c r="J32" s="2">
        <f t="shared" si="0"/>
        <v>1.653672835432296</v>
      </c>
    </row>
    <row r="33" spans="3:10" x14ac:dyDescent="0.25">
      <c r="C33">
        <v>29</v>
      </c>
      <c r="D33" t="s">
        <v>58</v>
      </c>
      <c r="E33">
        <v>0.21569986999999999</v>
      </c>
      <c r="F33">
        <v>0.43419094000000003</v>
      </c>
      <c r="G33">
        <v>0.49678575000000003</v>
      </c>
      <c r="H33">
        <v>443.96890000000002</v>
      </c>
      <c r="I33" s="4">
        <v>0.61958599999999997</v>
      </c>
      <c r="J33" s="2">
        <f t="shared" si="0"/>
        <v>1.2407299428360909</v>
      </c>
    </row>
    <row r="34" spans="3:10" x14ac:dyDescent="0.25">
      <c r="C34">
        <v>30</v>
      </c>
      <c r="D34" t="s">
        <v>31</v>
      </c>
      <c r="E34">
        <v>-5.0161323000000001E-2</v>
      </c>
      <c r="F34">
        <v>0.61212007999999996</v>
      </c>
      <c r="G34">
        <v>-8.1946870000000005E-2</v>
      </c>
      <c r="H34">
        <v>443.96890000000002</v>
      </c>
      <c r="I34" s="4">
        <v>0.9347259</v>
      </c>
      <c r="J34" s="2">
        <f t="shared" si="0"/>
        <v>0.95107598169352503</v>
      </c>
    </row>
    <row r="35" spans="3:10" x14ac:dyDescent="0.25">
      <c r="C35">
        <v>31</v>
      </c>
      <c r="D35" t="s">
        <v>59</v>
      </c>
      <c r="E35">
        <v>1.458493206</v>
      </c>
      <c r="F35">
        <v>0.91650788999999999</v>
      </c>
      <c r="G35">
        <v>1.59135914</v>
      </c>
      <c r="H35">
        <v>443.96890000000002</v>
      </c>
      <c r="I35" s="4">
        <v>0.11224050000000001</v>
      </c>
      <c r="J35" s="2">
        <f t="shared" si="0"/>
        <v>4.2994762200952952</v>
      </c>
    </row>
    <row r="36" spans="3:10" x14ac:dyDescent="0.25">
      <c r="C36">
        <v>32</v>
      </c>
      <c r="D36" t="s">
        <v>33</v>
      </c>
      <c r="E36">
        <v>-0.60566231299999995</v>
      </c>
      <c r="F36">
        <v>0.40671407999999998</v>
      </c>
      <c r="G36">
        <v>-1.48915993</v>
      </c>
      <c r="H36">
        <v>443.96890000000002</v>
      </c>
      <c r="I36" s="4">
        <v>0.13715530000000001</v>
      </c>
      <c r="J36" s="2">
        <f t="shared" si="0"/>
        <v>0.54571287419163816</v>
      </c>
    </row>
    <row r="37" spans="3:10" x14ac:dyDescent="0.25">
      <c r="C37">
        <v>33</v>
      </c>
      <c r="D37" t="s">
        <v>34</v>
      </c>
      <c r="E37">
        <v>0.31662504600000002</v>
      </c>
      <c r="F37">
        <v>0.38499523000000002</v>
      </c>
      <c r="G37">
        <v>0.82241291000000005</v>
      </c>
      <c r="H37">
        <v>443.96890000000002</v>
      </c>
      <c r="I37" s="4">
        <v>0.41128340000000002</v>
      </c>
      <c r="J37" s="2">
        <f t="shared" si="0"/>
        <v>1.3724878556226037</v>
      </c>
    </row>
    <row r="38" spans="3:10" x14ac:dyDescent="0.25">
      <c r="C38">
        <v>34</v>
      </c>
      <c r="D38" t="s">
        <v>60</v>
      </c>
      <c r="E38">
        <v>1.3046732E-2</v>
      </c>
      <c r="F38">
        <v>0.72797573999999998</v>
      </c>
      <c r="G38">
        <v>1.7921929999999999E-2</v>
      </c>
      <c r="H38">
        <v>443.96890000000002</v>
      </c>
      <c r="I38" s="4">
        <v>0.98570919999999995</v>
      </c>
      <c r="J38" s="2">
        <f t="shared" si="0"/>
        <v>1.0131322119480757</v>
      </c>
    </row>
    <row r="39" spans="3:10" x14ac:dyDescent="0.25">
      <c r="C39">
        <v>35</v>
      </c>
      <c r="D39" t="s">
        <v>36</v>
      </c>
      <c r="E39">
        <v>-0.65651995900000004</v>
      </c>
      <c r="F39">
        <v>0.79229627000000002</v>
      </c>
      <c r="G39">
        <v>-0.82862937000000003</v>
      </c>
      <c r="H39">
        <v>443.96890000000002</v>
      </c>
      <c r="I39" s="4">
        <v>0.40775939999999999</v>
      </c>
      <c r="J39" s="2">
        <f t="shared" si="0"/>
        <v>0.5186531316722498</v>
      </c>
    </row>
    <row r="40" spans="3:10" x14ac:dyDescent="0.25">
      <c r="C40">
        <v>36</v>
      </c>
      <c r="D40" t="s">
        <v>61</v>
      </c>
      <c r="E40">
        <v>-0.26176678199999998</v>
      </c>
      <c r="F40">
        <v>0.92598413999999996</v>
      </c>
      <c r="G40">
        <v>-0.28269034999999998</v>
      </c>
      <c r="H40">
        <v>443.96890000000002</v>
      </c>
      <c r="I40" s="4">
        <v>0.77754599999999996</v>
      </c>
      <c r="J40" s="2">
        <f t="shared" si="0"/>
        <v>0.76969050845822662</v>
      </c>
    </row>
    <row r="41" spans="3:10" x14ac:dyDescent="0.25">
      <c r="C41">
        <v>37</v>
      </c>
      <c r="D41" t="s">
        <v>38</v>
      </c>
      <c r="E41">
        <v>-0.114071484</v>
      </c>
      <c r="F41">
        <v>0.18874727999999999</v>
      </c>
      <c r="G41">
        <v>-0.60436095000000001</v>
      </c>
      <c r="H41">
        <v>443.96890000000002</v>
      </c>
      <c r="I41" s="4">
        <v>0.54591239999999996</v>
      </c>
      <c r="J41" s="2">
        <f t="shared" si="0"/>
        <v>0.89219417599433792</v>
      </c>
    </row>
    <row r="42" spans="3:10" x14ac:dyDescent="0.25">
      <c r="C42">
        <v>38</v>
      </c>
      <c r="D42" t="s">
        <v>48</v>
      </c>
      <c r="E42">
        <v>2.8714802000000001E-2</v>
      </c>
      <c r="F42">
        <v>1.257673E-2</v>
      </c>
      <c r="G42">
        <v>2.2831699300000001</v>
      </c>
      <c r="H42">
        <v>443.96890000000002</v>
      </c>
      <c r="I42" s="4">
        <v>2.2892139999999998E-2</v>
      </c>
      <c r="J42" s="2">
        <f t="shared" si="0"/>
        <v>1.0291310465012729</v>
      </c>
    </row>
  </sheetData>
  <conditionalFormatting sqref="I1:I1048576">
    <cfRule type="cellIs" dxfId="1" priority="1" operator="less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7411-A29B-490A-895D-853168C3FFA4}">
  <dimension ref="A2:H69"/>
  <sheetViews>
    <sheetView topLeftCell="B1" workbookViewId="0">
      <selection activeCell="H4" sqref="H4:H56"/>
    </sheetView>
  </sheetViews>
  <sheetFormatPr defaultRowHeight="15" x14ac:dyDescent="0.25"/>
  <cols>
    <col min="1" max="1" width="12.85546875" customWidth="1"/>
    <col min="2" max="2" width="41.5703125" customWidth="1"/>
    <col min="3" max="3" width="17" style="2" customWidth="1"/>
    <col min="4" max="4" width="17" customWidth="1"/>
    <col min="5" max="5" width="13.5703125" customWidth="1"/>
    <col min="6" max="6" width="14.42578125" style="4" customWidth="1"/>
    <col min="7" max="7" width="12.42578125" style="2" customWidth="1"/>
    <col min="8" max="8" width="8.85546875" style="2"/>
  </cols>
  <sheetData>
    <row r="2" spans="1:8" x14ac:dyDescent="0.25">
      <c r="D2" s="2"/>
    </row>
    <row r="3" spans="1:8" x14ac:dyDescent="0.25">
      <c r="A3" s="6"/>
      <c r="B3" s="6"/>
      <c r="C3" s="2" t="s">
        <v>119</v>
      </c>
      <c r="D3" s="2" t="s">
        <v>120</v>
      </c>
      <c r="E3" t="s">
        <v>121</v>
      </c>
      <c r="F3" s="4" t="s">
        <v>122</v>
      </c>
      <c r="H3" s="2" t="s">
        <v>126</v>
      </c>
    </row>
    <row r="4" spans="1:8" x14ac:dyDescent="0.25">
      <c r="A4" s="6"/>
      <c r="B4" s="6" t="s">
        <v>1</v>
      </c>
      <c r="C4" s="2">
        <v>-0.20119999999999999</v>
      </c>
      <c r="D4" s="2">
        <v>4.0960000000000003E-2</v>
      </c>
      <c r="E4">
        <v>-4.9130000000000003</v>
      </c>
      <c r="F4" s="4">
        <v>9.5199999999999995E-7</v>
      </c>
      <c r="G4" s="2" t="s">
        <v>70</v>
      </c>
      <c r="H4" s="2">
        <f t="shared" ref="H4:H56" si="0">EXP(C4)</f>
        <v>0.81774886542470682</v>
      </c>
    </row>
    <row r="5" spans="1:8" x14ac:dyDescent="0.25">
      <c r="A5" s="6"/>
      <c r="B5" s="6" t="s">
        <v>2</v>
      </c>
      <c r="C5" s="2">
        <v>0.28089999999999998</v>
      </c>
      <c r="D5" s="2">
        <v>0.15210000000000001</v>
      </c>
      <c r="E5">
        <v>1.847</v>
      </c>
      <c r="F5" s="4">
        <v>6.4839999999999995E-2</v>
      </c>
      <c r="G5" s="2" t="s">
        <v>71</v>
      </c>
      <c r="H5" s="2">
        <f t="shared" si="0"/>
        <v>1.3243211651969111</v>
      </c>
    </row>
    <row r="6" spans="1:8" x14ac:dyDescent="0.25">
      <c r="A6" s="6"/>
      <c r="B6" s="6" t="s">
        <v>3</v>
      </c>
      <c r="C6" s="2">
        <v>-3.0289999999999999E-4</v>
      </c>
      <c r="D6" s="2">
        <v>6.6909999999999999E-3</v>
      </c>
      <c r="E6">
        <v>-4.4999999999999998E-2</v>
      </c>
      <c r="F6" s="4">
        <v>0.96389999999999998</v>
      </c>
      <c r="H6" s="2">
        <f t="shared" si="0"/>
        <v>0.99969714586957359</v>
      </c>
    </row>
    <row r="7" spans="1:8" x14ac:dyDescent="0.25">
      <c r="A7" s="6"/>
      <c r="B7" s="6" t="s">
        <v>4</v>
      </c>
      <c r="C7" s="2">
        <v>-0.50990000000000002</v>
      </c>
      <c r="D7" s="2">
        <v>5.0959999999999998E-2</v>
      </c>
      <c r="E7">
        <v>-10.005000000000001</v>
      </c>
      <c r="F7" s="4" t="s">
        <v>69</v>
      </c>
      <c r="G7" s="2" t="s">
        <v>70</v>
      </c>
      <c r="H7" s="2">
        <f t="shared" si="0"/>
        <v>0.60055563137272516</v>
      </c>
    </row>
    <row r="8" spans="1:8" x14ac:dyDescent="0.25">
      <c r="A8" s="6"/>
      <c r="B8" s="6"/>
      <c r="D8" s="2"/>
    </row>
    <row r="9" spans="1:8" x14ac:dyDescent="0.25">
      <c r="A9" s="6"/>
      <c r="B9" s="6" t="s">
        <v>5</v>
      </c>
      <c r="C9" s="2">
        <v>-0.22339999999999999</v>
      </c>
      <c r="D9" s="2">
        <v>0.21510000000000001</v>
      </c>
      <c r="E9">
        <v>-1.0389999999999999</v>
      </c>
      <c r="F9" s="4">
        <v>0.29903099999999999</v>
      </c>
      <c r="H9" s="2">
        <f t="shared" si="0"/>
        <v>0.79979486735549055</v>
      </c>
    </row>
    <row r="10" spans="1:8" x14ac:dyDescent="0.25">
      <c r="A10" s="6"/>
      <c r="B10" s="6" t="s">
        <v>9</v>
      </c>
      <c r="C10" s="2">
        <v>0.3115</v>
      </c>
      <c r="D10" s="2">
        <v>0.13719999999999999</v>
      </c>
      <c r="E10">
        <v>2.27</v>
      </c>
      <c r="F10" s="4">
        <v>2.3309E-2</v>
      </c>
      <c r="G10" s="2" t="s">
        <v>72</v>
      </c>
      <c r="H10" s="2">
        <f t="shared" si="0"/>
        <v>1.3654717864238437</v>
      </c>
    </row>
    <row r="11" spans="1:8" x14ac:dyDescent="0.25">
      <c r="A11" s="6"/>
      <c r="B11" s="6" t="s">
        <v>6</v>
      </c>
      <c r="C11" s="2">
        <v>7.8359999999999999E-2</v>
      </c>
      <c r="D11" s="2">
        <v>0.35510000000000003</v>
      </c>
      <c r="E11">
        <v>0.221</v>
      </c>
      <c r="F11" s="4">
        <v>0.82536399999999999</v>
      </c>
      <c r="H11" s="2">
        <f t="shared" si="0"/>
        <v>1.0815119328923601</v>
      </c>
    </row>
    <row r="12" spans="1:8" x14ac:dyDescent="0.25">
      <c r="A12" s="6"/>
      <c r="B12" s="6" t="s">
        <v>7</v>
      </c>
      <c r="C12" s="2">
        <v>-0.66600000000000004</v>
      </c>
      <c r="D12" s="2">
        <v>0.1076</v>
      </c>
      <c r="E12">
        <v>-6.1929999999999996</v>
      </c>
      <c r="F12" s="4">
        <v>6.8400000000000002E-10</v>
      </c>
      <c r="G12" s="2" t="s">
        <v>70</v>
      </c>
      <c r="H12" s="2">
        <f t="shared" si="0"/>
        <v>0.5137595112299983</v>
      </c>
    </row>
    <row r="13" spans="1:8" x14ac:dyDescent="0.25">
      <c r="A13" s="6"/>
      <c r="B13" s="6" t="s">
        <v>98</v>
      </c>
      <c r="C13" s="2">
        <v>-0.1404</v>
      </c>
      <c r="D13" s="2">
        <v>7.281E-2</v>
      </c>
      <c r="E13">
        <v>-1.9279999999999999</v>
      </c>
      <c r="F13" s="4">
        <v>5.3925000000000001E-2</v>
      </c>
      <c r="G13" s="2" t="s">
        <v>71</v>
      </c>
      <c r="H13" s="2">
        <f t="shared" si="0"/>
        <v>0.8690105616440329</v>
      </c>
    </row>
    <row r="14" spans="1:8" x14ac:dyDescent="0.25">
      <c r="A14" s="6"/>
      <c r="B14" s="6"/>
      <c r="D14" s="2"/>
    </row>
    <row r="15" spans="1:8" x14ac:dyDescent="0.25">
      <c r="A15" s="6"/>
      <c r="B15" s="6" t="s">
        <v>108</v>
      </c>
      <c r="C15" s="2">
        <v>0.26250000000000001</v>
      </c>
      <c r="D15" s="2">
        <v>0.33550000000000002</v>
      </c>
      <c r="E15">
        <v>0.78200000000000003</v>
      </c>
      <c r="F15" s="4">
        <v>0.43401099999999998</v>
      </c>
      <c r="H15" s="2">
        <f t="shared" si="0"/>
        <v>1.3001764681684911</v>
      </c>
    </row>
    <row r="16" spans="1:8" x14ac:dyDescent="0.25">
      <c r="A16" s="6"/>
      <c r="B16" s="6" t="s">
        <v>109</v>
      </c>
      <c r="C16" s="2">
        <v>0.1065</v>
      </c>
      <c r="D16" s="2">
        <v>0.2087</v>
      </c>
      <c r="E16">
        <v>0.51</v>
      </c>
      <c r="F16" s="4">
        <v>0.60992900000000005</v>
      </c>
      <c r="H16" s="2">
        <f t="shared" si="0"/>
        <v>1.1123779264456846</v>
      </c>
    </row>
    <row r="17" spans="1:8" x14ac:dyDescent="0.25">
      <c r="A17" s="6"/>
      <c r="B17" s="6" t="s">
        <v>110</v>
      </c>
      <c r="C17" s="2">
        <v>0.36759999999999998</v>
      </c>
      <c r="D17" s="2">
        <v>0.19819999999999999</v>
      </c>
      <c r="E17">
        <v>1.855</v>
      </c>
      <c r="F17" s="4">
        <v>6.3724000000000003E-2</v>
      </c>
      <c r="G17" s="2" t="s">
        <v>71</v>
      </c>
      <c r="H17" s="2">
        <f t="shared" si="0"/>
        <v>1.4442642177302425</v>
      </c>
    </row>
    <row r="18" spans="1:8" x14ac:dyDescent="0.25">
      <c r="A18" s="6"/>
      <c r="B18" s="6" t="s">
        <v>111</v>
      </c>
      <c r="C18" s="2">
        <v>0.51359999999999995</v>
      </c>
      <c r="D18" s="2">
        <v>0.21659999999999999</v>
      </c>
      <c r="E18">
        <v>2.3719999999999999</v>
      </c>
      <c r="F18" s="4">
        <v>1.7770999999999999E-2</v>
      </c>
      <c r="G18" s="2" t="s">
        <v>72</v>
      </c>
      <c r="H18" s="2">
        <f t="shared" si="0"/>
        <v>1.6712970472956017</v>
      </c>
    </row>
    <row r="19" spans="1:8" x14ac:dyDescent="0.25">
      <c r="A19" s="6"/>
      <c r="B19" s="6" t="s">
        <v>112</v>
      </c>
      <c r="C19" s="2">
        <v>0.69440000000000002</v>
      </c>
      <c r="D19" s="2">
        <v>0.2286</v>
      </c>
      <c r="E19">
        <v>3.0369999999999999</v>
      </c>
      <c r="F19" s="4">
        <v>2.4109999999999999E-3</v>
      </c>
      <c r="G19" s="2" t="s">
        <v>68</v>
      </c>
      <c r="H19" s="2">
        <f t="shared" si="0"/>
        <v>2.0025072090923213</v>
      </c>
    </row>
    <row r="20" spans="1:8" x14ac:dyDescent="0.25">
      <c r="A20" s="6"/>
      <c r="B20" s="6" t="s">
        <v>113</v>
      </c>
      <c r="C20" s="2">
        <v>-0.88329999999999997</v>
      </c>
      <c r="D20" s="2">
        <v>0.24579999999999999</v>
      </c>
      <c r="E20">
        <v>-3.593</v>
      </c>
      <c r="F20" s="4">
        <v>3.3300000000000002E-4</v>
      </c>
      <c r="G20" s="2" t="s">
        <v>70</v>
      </c>
      <c r="H20" s="2">
        <f t="shared" si="0"/>
        <v>0.41341638408369225</v>
      </c>
    </row>
    <row r="21" spans="1:8" x14ac:dyDescent="0.25">
      <c r="A21" s="6"/>
      <c r="B21" s="6" t="s">
        <v>114</v>
      </c>
      <c r="C21" s="2">
        <v>-8.8929999999999995E-2</v>
      </c>
      <c r="D21" s="2">
        <v>0.2923</v>
      </c>
      <c r="E21">
        <v>-0.30399999999999999</v>
      </c>
      <c r="F21" s="4">
        <v>0.76093100000000002</v>
      </c>
      <c r="H21" s="2">
        <f t="shared" si="0"/>
        <v>0.91490961500602619</v>
      </c>
    </row>
    <row r="22" spans="1:8" x14ac:dyDescent="0.25">
      <c r="A22" s="6"/>
      <c r="B22" s="6" t="s">
        <v>115</v>
      </c>
      <c r="C22" s="2">
        <v>-0.26939999999999997</v>
      </c>
      <c r="D22" s="2">
        <v>0.70379999999999998</v>
      </c>
      <c r="E22">
        <v>-0.38300000000000001</v>
      </c>
      <c r="F22" s="4">
        <v>0.70187299999999997</v>
      </c>
      <c r="H22" s="2">
        <f t="shared" si="0"/>
        <v>0.76383765946925009</v>
      </c>
    </row>
    <row r="23" spans="1:8" x14ac:dyDescent="0.25">
      <c r="A23" s="6"/>
      <c r="B23" s="6" t="s">
        <v>116</v>
      </c>
      <c r="C23" s="2">
        <v>0.43219999999999997</v>
      </c>
      <c r="D23" s="2">
        <v>0.49049999999999999</v>
      </c>
      <c r="E23">
        <v>0.88100000000000001</v>
      </c>
      <c r="F23" s="4">
        <v>0.37835600000000003</v>
      </c>
      <c r="H23" s="2">
        <f t="shared" si="0"/>
        <v>1.5406432129929153</v>
      </c>
    </row>
    <row r="24" spans="1:8" x14ac:dyDescent="0.25">
      <c r="A24" s="6"/>
      <c r="B24" s="6" t="s">
        <v>117</v>
      </c>
      <c r="C24" s="2">
        <v>1.839</v>
      </c>
      <c r="D24" s="2">
        <v>0.4083</v>
      </c>
      <c r="E24">
        <v>4.5030000000000001</v>
      </c>
      <c r="F24" s="4">
        <v>6.9999999999999999E-6</v>
      </c>
      <c r="G24" s="2" t="s">
        <v>70</v>
      </c>
      <c r="H24" s="2">
        <f t="shared" si="0"/>
        <v>6.2902448699855995</v>
      </c>
    </row>
    <row r="25" spans="1:8" x14ac:dyDescent="0.25">
      <c r="A25" s="6"/>
      <c r="B25" s="6" t="s">
        <v>118</v>
      </c>
      <c r="C25" s="2">
        <v>0.21879999999999999</v>
      </c>
      <c r="D25" s="2">
        <v>0.20269999999999999</v>
      </c>
      <c r="E25">
        <v>1.08</v>
      </c>
      <c r="F25" s="4">
        <v>0.28043000000000001</v>
      </c>
      <c r="H25" s="2">
        <f t="shared" si="0"/>
        <v>1.2445823353271595</v>
      </c>
    </row>
    <row r="26" spans="1:8" x14ac:dyDescent="0.25">
      <c r="A26" s="6"/>
      <c r="B26" s="6"/>
      <c r="D26" s="2"/>
    </row>
    <row r="27" spans="1:8" x14ac:dyDescent="0.25">
      <c r="A27" s="6"/>
      <c r="B27" s="6" t="s">
        <v>82</v>
      </c>
      <c r="C27" s="2">
        <v>-1.546</v>
      </c>
      <c r="D27" s="2">
        <v>1.675</v>
      </c>
      <c r="E27">
        <v>-0.92300000000000004</v>
      </c>
      <c r="F27" s="4">
        <v>0.35609299999999999</v>
      </c>
      <c r="H27" s="2">
        <f t="shared" si="0"/>
        <v>0.21309866597208482</v>
      </c>
    </row>
    <row r="28" spans="1:8" x14ac:dyDescent="0.25">
      <c r="A28" s="6"/>
      <c r="B28" s="6" t="s">
        <v>83</v>
      </c>
      <c r="C28" s="2">
        <v>0.55640000000000001</v>
      </c>
      <c r="D28" s="2">
        <v>0.2167</v>
      </c>
      <c r="E28">
        <v>2.5680000000000001</v>
      </c>
      <c r="F28" s="4">
        <v>1.0279999999999999E-2</v>
      </c>
      <c r="G28" s="2" t="s">
        <v>72</v>
      </c>
      <c r="H28" s="2">
        <f t="shared" si="0"/>
        <v>1.7443814100518509</v>
      </c>
    </row>
    <row r="29" spans="1:8" x14ac:dyDescent="0.25">
      <c r="A29" s="6"/>
      <c r="B29" s="6" t="s">
        <v>84</v>
      </c>
      <c r="C29" s="2">
        <v>0.12280000000000001</v>
      </c>
      <c r="D29" s="2">
        <v>0.31969999999999998</v>
      </c>
      <c r="E29">
        <v>0.38400000000000001</v>
      </c>
      <c r="F29" s="4">
        <v>0.70100899999999999</v>
      </c>
      <c r="H29" s="2">
        <f t="shared" si="0"/>
        <v>1.1306582666794804</v>
      </c>
    </row>
    <row r="30" spans="1:8" x14ac:dyDescent="0.25">
      <c r="A30" s="6"/>
      <c r="B30" s="6" t="s">
        <v>85</v>
      </c>
      <c r="C30" s="2">
        <v>0.35360000000000003</v>
      </c>
      <c r="D30" s="2">
        <v>0.2198</v>
      </c>
      <c r="E30">
        <v>1.6080000000000001</v>
      </c>
      <c r="F30" s="4">
        <v>0.10785699999999999</v>
      </c>
      <c r="H30" s="2">
        <f t="shared" si="0"/>
        <v>1.4241853983705155</v>
      </c>
    </row>
    <row r="31" spans="1:8" x14ac:dyDescent="0.25">
      <c r="A31" s="6"/>
      <c r="B31" s="6" t="s">
        <v>86</v>
      </c>
      <c r="C31" s="2">
        <v>0.63819999999999999</v>
      </c>
      <c r="D31" s="2">
        <v>0.21990000000000001</v>
      </c>
      <c r="E31">
        <v>2.903</v>
      </c>
      <c r="F31" s="4">
        <v>3.7269999999999998E-3</v>
      </c>
      <c r="G31" s="2" t="s">
        <v>68</v>
      </c>
      <c r="H31" s="2">
        <f t="shared" si="0"/>
        <v>1.8930702841786766</v>
      </c>
    </row>
    <row r="32" spans="1:8" x14ac:dyDescent="0.25">
      <c r="A32" s="6"/>
      <c r="B32" s="6" t="s">
        <v>81</v>
      </c>
      <c r="C32" s="2">
        <v>0.87749999999999995</v>
      </c>
      <c r="D32" s="2">
        <v>0.27160000000000001</v>
      </c>
      <c r="E32">
        <v>3.2309999999999999</v>
      </c>
      <c r="F32" s="4">
        <v>1.2470000000000001E-3</v>
      </c>
      <c r="G32" s="2" t="s">
        <v>68</v>
      </c>
      <c r="H32" s="2">
        <f t="shared" si="0"/>
        <v>2.4048799849382867</v>
      </c>
    </row>
    <row r="33" spans="1:8" x14ac:dyDescent="0.25">
      <c r="A33" s="6"/>
      <c r="B33" s="6"/>
      <c r="D33" s="2"/>
    </row>
    <row r="34" spans="1:8" x14ac:dyDescent="0.25">
      <c r="A34" s="6"/>
      <c r="B34" s="6" t="s">
        <v>19</v>
      </c>
      <c r="C34" s="2">
        <v>-8.3629999999999996E-2</v>
      </c>
      <c r="D34" s="2">
        <v>0.1777</v>
      </c>
      <c r="E34">
        <v>-0.47099999999999997</v>
      </c>
      <c r="F34" s="4">
        <v>0.63791299999999995</v>
      </c>
      <c r="H34" s="2">
        <f t="shared" si="0"/>
        <v>0.91977150860271206</v>
      </c>
    </row>
    <row r="35" spans="1:8" x14ac:dyDescent="0.25">
      <c r="A35" s="6"/>
      <c r="B35" s="6" t="s">
        <v>20</v>
      </c>
      <c r="C35" s="2">
        <v>0.27289999999999998</v>
      </c>
      <c r="D35" s="2">
        <v>0.1462</v>
      </c>
      <c r="E35">
        <v>1.8660000000000001</v>
      </c>
      <c r="F35" s="4">
        <v>6.2116999999999999E-2</v>
      </c>
      <c r="G35" s="2" t="s">
        <v>71</v>
      </c>
      <c r="H35" s="2">
        <f t="shared" si="0"/>
        <v>1.3137688613695389</v>
      </c>
    </row>
    <row r="36" spans="1:8" x14ac:dyDescent="0.25">
      <c r="A36" s="6"/>
      <c r="B36" s="6" t="s">
        <v>21</v>
      </c>
      <c r="C36" s="2">
        <v>0.1472</v>
      </c>
      <c r="D36" s="2">
        <v>0.1459</v>
      </c>
      <c r="E36">
        <v>1.0089999999999999</v>
      </c>
      <c r="F36" s="4">
        <v>0.31289400000000001</v>
      </c>
      <c r="H36" s="2">
        <f t="shared" si="0"/>
        <v>1.1585856569910851</v>
      </c>
    </row>
    <row r="37" spans="1:8" x14ac:dyDescent="0.25">
      <c r="A37" s="6"/>
      <c r="B37" s="6" t="s">
        <v>22</v>
      </c>
      <c r="C37" s="2">
        <v>0.43690000000000001</v>
      </c>
      <c r="D37" s="2">
        <v>8.8639999999999997E-2</v>
      </c>
      <c r="E37">
        <v>4.9290000000000003</v>
      </c>
      <c r="F37" s="4">
        <v>8.7899999999999997E-7</v>
      </c>
      <c r="G37" s="2" t="s">
        <v>70</v>
      </c>
      <c r="H37" s="2">
        <f t="shared" si="0"/>
        <v>1.5479012791886568</v>
      </c>
    </row>
    <row r="38" spans="1:8" x14ac:dyDescent="0.25">
      <c r="A38" s="6"/>
      <c r="B38" s="6" t="s">
        <v>23</v>
      </c>
      <c r="C38" s="2">
        <v>4.1759999999999999E-2</v>
      </c>
      <c r="D38" s="2">
        <v>1.6029999999999999E-2</v>
      </c>
      <c r="E38">
        <v>2.6059999999999999</v>
      </c>
      <c r="F38" s="4">
        <v>9.2189999999999998E-3</v>
      </c>
      <c r="G38" s="2" t="s">
        <v>68</v>
      </c>
      <c r="H38" s="2">
        <f t="shared" si="0"/>
        <v>1.0426442141088215</v>
      </c>
    </row>
    <row r="39" spans="1:8" x14ac:dyDescent="0.25">
      <c r="A39" s="6"/>
      <c r="B39" s="6"/>
      <c r="D39" s="2"/>
    </row>
    <row r="40" spans="1:8" x14ac:dyDescent="0.25">
      <c r="A40" s="6"/>
      <c r="B40" s="6" t="s">
        <v>30</v>
      </c>
      <c r="C40" s="2">
        <v>-0.20949999999999999</v>
      </c>
      <c r="D40" s="2">
        <v>0.15559999999999999</v>
      </c>
      <c r="E40">
        <v>-1.3460000000000001</v>
      </c>
      <c r="F40" s="4">
        <v>0.17831900000000001</v>
      </c>
      <c r="H40" s="2">
        <f t="shared" si="0"/>
        <v>0.81098963943309221</v>
      </c>
    </row>
    <row r="41" spans="1:8" x14ac:dyDescent="0.25">
      <c r="A41" s="6"/>
      <c r="B41" s="6" t="s">
        <v>31</v>
      </c>
      <c r="C41" s="2">
        <v>-0.19470000000000001</v>
      </c>
      <c r="D41" s="2">
        <v>0.21820000000000001</v>
      </c>
      <c r="E41">
        <v>-0.89200000000000002</v>
      </c>
      <c r="F41" s="4">
        <v>0.37242799999999998</v>
      </c>
      <c r="H41" s="2">
        <f t="shared" si="0"/>
        <v>0.82308154548469781</v>
      </c>
    </row>
    <row r="42" spans="1:8" x14ac:dyDescent="0.25">
      <c r="A42" s="6"/>
      <c r="B42" s="6" t="s">
        <v>32</v>
      </c>
      <c r="C42" s="2">
        <v>0.55710000000000004</v>
      </c>
      <c r="D42" s="2">
        <v>0.35389999999999999</v>
      </c>
      <c r="E42">
        <v>1.5740000000000001</v>
      </c>
      <c r="F42" s="4">
        <v>0.115637</v>
      </c>
      <c r="H42" s="2">
        <f t="shared" si="0"/>
        <v>1.7456029045120705</v>
      </c>
    </row>
    <row r="43" spans="1:8" x14ac:dyDescent="0.25">
      <c r="A43" s="6"/>
      <c r="B43" s="6" t="s">
        <v>33</v>
      </c>
      <c r="C43" s="2">
        <v>-0.4819</v>
      </c>
      <c r="D43" s="2">
        <v>0.12820000000000001</v>
      </c>
      <c r="E43">
        <v>-3.758</v>
      </c>
      <c r="F43" s="4">
        <v>1.75E-4</v>
      </c>
      <c r="G43" s="2" t="s">
        <v>70</v>
      </c>
      <c r="H43" s="2">
        <f t="shared" si="0"/>
        <v>0.61760881955869473</v>
      </c>
    </row>
    <row r="44" spans="1:8" x14ac:dyDescent="0.25">
      <c r="A44" s="6"/>
      <c r="B44" s="6" t="s">
        <v>34</v>
      </c>
      <c r="C44" s="2">
        <v>0.115</v>
      </c>
      <c r="D44" s="2">
        <v>0.14360000000000001</v>
      </c>
      <c r="E44">
        <v>0.80100000000000005</v>
      </c>
      <c r="F44" s="4">
        <v>0.423344</v>
      </c>
      <c r="H44" s="2">
        <f t="shared" si="0"/>
        <v>1.1218734375719384</v>
      </c>
    </row>
    <row r="45" spans="1:8" x14ac:dyDescent="0.25">
      <c r="A45" s="6"/>
      <c r="B45" s="6"/>
      <c r="D45" s="2"/>
    </row>
    <row r="46" spans="1:8" x14ac:dyDescent="0.25">
      <c r="A46" s="6"/>
      <c r="B46" s="6" t="s">
        <v>35</v>
      </c>
      <c r="C46" s="2">
        <v>-0.5343</v>
      </c>
      <c r="D46" s="2">
        <v>0.23319999999999999</v>
      </c>
      <c r="E46">
        <v>-2.2909999999999999</v>
      </c>
      <c r="F46" s="4">
        <v>2.2030999999999999E-2</v>
      </c>
      <c r="G46" s="2" t="s">
        <v>72</v>
      </c>
      <c r="H46" s="2">
        <f t="shared" si="0"/>
        <v>0.58607940217035792</v>
      </c>
    </row>
    <row r="47" spans="1:8" x14ac:dyDescent="0.25">
      <c r="A47" s="6"/>
      <c r="B47" s="6" t="s">
        <v>36</v>
      </c>
      <c r="C47" s="2">
        <v>-0.46850000000000003</v>
      </c>
      <c r="D47" s="2">
        <v>0.27310000000000001</v>
      </c>
      <c r="E47">
        <v>-1.7150000000000001</v>
      </c>
      <c r="F47" s="4">
        <v>8.6374999999999993E-2</v>
      </c>
      <c r="G47" s="2" t="s">
        <v>71</v>
      </c>
      <c r="H47" s="2">
        <f t="shared" si="0"/>
        <v>0.62594047516437235</v>
      </c>
    </row>
    <row r="48" spans="1:8" x14ac:dyDescent="0.25">
      <c r="A48" s="6"/>
      <c r="B48" s="6" t="s">
        <v>37</v>
      </c>
      <c r="C48" s="2">
        <v>-0.43690000000000001</v>
      </c>
      <c r="D48" s="2">
        <v>0.33610000000000001</v>
      </c>
      <c r="E48">
        <v>-1.3</v>
      </c>
      <c r="F48" s="4">
        <v>0.19383500000000001</v>
      </c>
      <c r="H48" s="2">
        <f t="shared" si="0"/>
        <v>0.64603603178373037</v>
      </c>
    </row>
    <row r="49" spans="1:8" x14ac:dyDescent="0.25">
      <c r="A49" s="6"/>
      <c r="B49" s="6"/>
      <c r="D49" s="2"/>
    </row>
    <row r="50" spans="1:8" x14ac:dyDescent="0.25">
      <c r="A50" s="6"/>
      <c r="B50" s="6" t="s">
        <v>40</v>
      </c>
      <c r="C50" s="2">
        <v>0.84219999999999995</v>
      </c>
      <c r="D50" s="2">
        <v>0.82940000000000003</v>
      </c>
      <c r="E50">
        <v>1.0149999999999999</v>
      </c>
      <c r="F50" s="4">
        <v>0.31002200000000002</v>
      </c>
      <c r="H50" s="2">
        <f t="shared" si="0"/>
        <v>2.3214685938511348</v>
      </c>
    </row>
    <row r="51" spans="1:8" x14ac:dyDescent="0.25">
      <c r="A51" s="6"/>
      <c r="B51" s="6" t="s">
        <v>123</v>
      </c>
      <c r="C51" s="2">
        <v>-0.30959999999999999</v>
      </c>
      <c r="D51" s="2">
        <v>0.13750000000000001</v>
      </c>
      <c r="E51">
        <v>-2.2509999999999999</v>
      </c>
      <c r="F51" s="4">
        <v>2.4473000000000002E-2</v>
      </c>
      <c r="G51" s="2" t="s">
        <v>72</v>
      </c>
      <c r="H51" s="2">
        <f t="shared" si="0"/>
        <v>0.7337403936903597</v>
      </c>
    </row>
    <row r="52" spans="1:8" x14ac:dyDescent="0.25">
      <c r="A52" s="6"/>
      <c r="B52" s="6" t="s">
        <v>124</v>
      </c>
      <c r="C52" s="2">
        <v>0.13450000000000001</v>
      </c>
      <c r="D52" s="2">
        <v>0.2339</v>
      </c>
      <c r="E52">
        <v>0.57499999999999996</v>
      </c>
      <c r="F52" s="4">
        <v>0.56528999999999996</v>
      </c>
      <c r="H52" s="2">
        <f t="shared" si="0"/>
        <v>1.1439646590023953</v>
      </c>
    </row>
    <row r="53" spans="1:8" x14ac:dyDescent="0.25">
      <c r="A53" s="6"/>
      <c r="B53" s="6" t="s">
        <v>125</v>
      </c>
      <c r="C53" s="2">
        <v>-0.20580000000000001</v>
      </c>
      <c r="D53" s="2">
        <v>0.1565</v>
      </c>
      <c r="E53">
        <v>-1.3149999999999999</v>
      </c>
      <c r="F53" s="4">
        <v>0.188559</v>
      </c>
      <c r="H53" s="2">
        <f t="shared" si="0"/>
        <v>0.81399585917592399</v>
      </c>
    </row>
    <row r="54" spans="1:8" x14ac:dyDescent="0.25">
      <c r="A54" s="6"/>
      <c r="B54" s="6" t="s">
        <v>41</v>
      </c>
      <c r="C54" s="2">
        <v>-0.34610000000000002</v>
      </c>
      <c r="D54" s="2">
        <v>0.21629999999999999</v>
      </c>
      <c r="E54">
        <v>-1.601</v>
      </c>
      <c r="F54" s="4">
        <v>0.109599</v>
      </c>
      <c r="H54" s="2">
        <f t="shared" si="0"/>
        <v>0.70744173939523558</v>
      </c>
    </row>
    <row r="55" spans="1:8" x14ac:dyDescent="0.25">
      <c r="A55" s="6"/>
      <c r="B55" s="6" t="s">
        <v>38</v>
      </c>
      <c r="C55" s="2">
        <v>-6.744E-2</v>
      </c>
      <c r="D55" s="2">
        <v>8.0280000000000004E-2</v>
      </c>
      <c r="E55">
        <v>-0.84</v>
      </c>
      <c r="F55" s="4">
        <v>0.40089200000000003</v>
      </c>
      <c r="H55" s="2">
        <f t="shared" si="0"/>
        <v>0.9347838059618081</v>
      </c>
    </row>
    <row r="56" spans="1:8" x14ac:dyDescent="0.25">
      <c r="A56" s="6"/>
      <c r="B56" s="6" t="s">
        <v>48</v>
      </c>
      <c r="C56" s="2">
        <v>1.4279999999999999E-2</v>
      </c>
      <c r="D56" s="2">
        <v>4.3010000000000001E-3</v>
      </c>
      <c r="E56">
        <v>3.3210000000000002</v>
      </c>
      <c r="F56" s="4">
        <v>9.0899999999999998E-4</v>
      </c>
      <c r="G56" s="2" t="s">
        <v>70</v>
      </c>
      <c r="H56" s="2">
        <f t="shared" si="0"/>
        <v>1.0143824462633653</v>
      </c>
    </row>
    <row r="57" spans="1:8" x14ac:dyDescent="0.25">
      <c r="A57" s="6"/>
      <c r="B57" s="7"/>
      <c r="D57" s="2"/>
    </row>
    <row r="58" spans="1:8" x14ac:dyDescent="0.25">
      <c r="A58" s="7"/>
      <c r="B58" s="6"/>
      <c r="D58" s="2"/>
    </row>
    <row r="59" spans="1:8" x14ac:dyDescent="0.25">
      <c r="A59" s="6"/>
      <c r="B59" s="6"/>
      <c r="D59" s="2"/>
    </row>
    <row r="60" spans="1:8" x14ac:dyDescent="0.25">
      <c r="A60" s="6"/>
      <c r="B60" s="6"/>
      <c r="D60" s="2"/>
    </row>
    <row r="61" spans="1:8" x14ac:dyDescent="0.25">
      <c r="A61" s="6"/>
      <c r="B61" s="6"/>
      <c r="D61" s="2"/>
    </row>
    <row r="62" spans="1:8" x14ac:dyDescent="0.25">
      <c r="A62" s="6"/>
      <c r="B62" s="6"/>
      <c r="D62" s="2"/>
    </row>
    <row r="63" spans="1:8" x14ac:dyDescent="0.25">
      <c r="A63" s="6"/>
      <c r="B63" s="7"/>
      <c r="D63" s="2"/>
    </row>
    <row r="64" spans="1:8" x14ac:dyDescent="0.25">
      <c r="A64" s="6"/>
      <c r="D64" s="2"/>
    </row>
    <row r="65" spans="1:4" x14ac:dyDescent="0.25">
      <c r="A65" s="6"/>
      <c r="D65" s="2"/>
    </row>
    <row r="66" spans="1:4" x14ac:dyDescent="0.25">
      <c r="A66" s="6"/>
    </row>
    <row r="67" spans="1:4" x14ac:dyDescent="0.25">
      <c r="A67" s="6"/>
    </row>
    <row r="68" spans="1:4" x14ac:dyDescent="0.25">
      <c r="A68" s="6"/>
    </row>
    <row r="69" spans="1:4" x14ac:dyDescent="0.25">
      <c r="A69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DF77-2F8B-48FB-9CB4-213BDD48C029}">
  <dimension ref="A1:S54"/>
  <sheetViews>
    <sheetView tabSelected="1" zoomScale="70" zoomScaleNormal="70" workbookViewId="0">
      <selection activeCell="N40" sqref="N2:N40"/>
    </sheetView>
  </sheetViews>
  <sheetFormatPr defaultRowHeight="15" x14ac:dyDescent="0.25"/>
  <cols>
    <col min="2" max="2" width="9.140625" style="2"/>
    <col min="6" max="6" width="9.140625" style="2"/>
  </cols>
  <sheetData>
    <row r="1" spans="1:19" x14ac:dyDescent="0.25">
      <c r="A1" t="s">
        <v>139</v>
      </c>
      <c r="B1" s="2" t="s">
        <v>140</v>
      </c>
      <c r="C1" t="s">
        <v>141</v>
      </c>
      <c r="E1" t="s">
        <v>139</v>
      </c>
      <c r="F1" s="2" t="s">
        <v>140</v>
      </c>
      <c r="G1" t="s">
        <v>141</v>
      </c>
      <c r="I1" t="s">
        <v>139</v>
      </c>
      <c r="J1" t="s">
        <v>140</v>
      </c>
      <c r="K1" t="s">
        <v>141</v>
      </c>
      <c r="M1" t="s">
        <v>139</v>
      </c>
      <c r="N1" t="s">
        <v>140</v>
      </c>
      <c r="O1" t="s">
        <v>141</v>
      </c>
      <c r="Q1" t="s">
        <v>142</v>
      </c>
    </row>
    <row r="2" spans="1:19" x14ac:dyDescent="0.25">
      <c r="A2" t="s">
        <v>1</v>
      </c>
      <c r="B2" s="2">
        <v>0.93</v>
      </c>
      <c r="C2">
        <v>1E-3</v>
      </c>
      <c r="E2" t="s">
        <v>1</v>
      </c>
      <c r="F2" s="2">
        <v>0.88</v>
      </c>
      <c r="G2">
        <v>0</v>
      </c>
      <c r="I2" t="s">
        <v>1</v>
      </c>
      <c r="J2">
        <v>0.81</v>
      </c>
      <c r="K2">
        <v>0</v>
      </c>
      <c r="M2" t="s">
        <v>1</v>
      </c>
      <c r="N2">
        <v>0.81</v>
      </c>
      <c r="O2">
        <v>0</v>
      </c>
      <c r="Q2" t="s">
        <v>1</v>
      </c>
      <c r="R2">
        <v>0.8</v>
      </c>
      <c r="S2">
        <v>0</v>
      </c>
    </row>
    <row r="3" spans="1:19" x14ac:dyDescent="0.25">
      <c r="A3" t="s">
        <v>2</v>
      </c>
      <c r="B3" s="2">
        <v>1.18</v>
      </c>
      <c r="C3">
        <v>4.5999999999999999E-2</v>
      </c>
      <c r="E3" t="s">
        <v>2</v>
      </c>
      <c r="F3" s="2">
        <v>1.18</v>
      </c>
      <c r="G3">
        <v>0.13700000000000001</v>
      </c>
      <c r="I3" t="s">
        <v>2</v>
      </c>
      <c r="J3">
        <v>1.1200000000000001</v>
      </c>
      <c r="K3">
        <v>0.29599999999999999</v>
      </c>
      <c r="M3" t="s">
        <v>2</v>
      </c>
      <c r="N3">
        <v>1.05</v>
      </c>
      <c r="O3">
        <v>0.70799999999999996</v>
      </c>
      <c r="Q3" t="s">
        <v>2</v>
      </c>
      <c r="R3">
        <v>1.19</v>
      </c>
      <c r="S3">
        <v>0.30599999999999999</v>
      </c>
    </row>
    <row r="4" spans="1:19" x14ac:dyDescent="0.25">
      <c r="A4" t="s">
        <v>3</v>
      </c>
      <c r="B4" s="2">
        <v>0.98</v>
      </c>
      <c r="C4">
        <v>0</v>
      </c>
      <c r="E4" t="s">
        <v>3</v>
      </c>
      <c r="F4" s="2">
        <v>0.98</v>
      </c>
      <c r="G4">
        <v>0</v>
      </c>
      <c r="I4" t="s">
        <v>3</v>
      </c>
      <c r="J4">
        <v>0.98</v>
      </c>
      <c r="K4">
        <v>0</v>
      </c>
      <c r="M4" t="s">
        <v>3</v>
      </c>
      <c r="N4">
        <v>0.97</v>
      </c>
      <c r="O4">
        <v>0</v>
      </c>
      <c r="Q4" t="s">
        <v>3</v>
      </c>
      <c r="R4">
        <v>0.99</v>
      </c>
      <c r="S4">
        <v>0.40400000000000003</v>
      </c>
    </row>
    <row r="5" spans="1:19" x14ac:dyDescent="0.25">
      <c r="A5" t="s">
        <v>4</v>
      </c>
      <c r="B5" s="2">
        <v>0.71</v>
      </c>
      <c r="C5">
        <v>0</v>
      </c>
      <c r="E5" t="s">
        <v>4</v>
      </c>
      <c r="F5" s="2">
        <v>0.68</v>
      </c>
      <c r="G5">
        <v>0</v>
      </c>
      <c r="I5" t="s">
        <v>4</v>
      </c>
      <c r="J5">
        <v>0.68</v>
      </c>
      <c r="K5">
        <v>0</v>
      </c>
      <c r="M5" t="s">
        <v>4</v>
      </c>
      <c r="N5">
        <v>0.61</v>
      </c>
      <c r="O5">
        <v>0</v>
      </c>
      <c r="Q5" t="s">
        <v>4</v>
      </c>
      <c r="R5">
        <v>0.54</v>
      </c>
      <c r="S5">
        <v>0</v>
      </c>
    </row>
    <row r="7" spans="1:19" x14ac:dyDescent="0.25">
      <c r="A7" t="s">
        <v>5</v>
      </c>
      <c r="B7" s="2">
        <v>0.63</v>
      </c>
      <c r="C7">
        <v>0</v>
      </c>
      <c r="E7" t="s">
        <v>5</v>
      </c>
      <c r="F7" s="2">
        <v>0.62</v>
      </c>
      <c r="G7">
        <v>3.0000000000000001E-3</v>
      </c>
      <c r="I7" t="s">
        <v>5</v>
      </c>
      <c r="J7">
        <v>0.61</v>
      </c>
      <c r="K7">
        <v>3.0000000000000001E-3</v>
      </c>
      <c r="M7" t="s">
        <v>5</v>
      </c>
      <c r="N7">
        <v>0.68</v>
      </c>
      <c r="O7">
        <v>3.1E-2</v>
      </c>
      <c r="Q7" t="s">
        <v>5</v>
      </c>
      <c r="R7">
        <v>0.86</v>
      </c>
      <c r="S7">
        <v>0.51400000000000001</v>
      </c>
    </row>
    <row r="8" spans="1:19" x14ac:dyDescent="0.25">
      <c r="A8" t="s">
        <v>9</v>
      </c>
      <c r="B8" s="2">
        <v>1.23</v>
      </c>
      <c r="C8">
        <v>2.7E-2</v>
      </c>
      <c r="E8" t="s">
        <v>9</v>
      </c>
      <c r="F8" s="2">
        <v>1.1399999999999999</v>
      </c>
      <c r="G8">
        <v>0.22800000000000001</v>
      </c>
      <c r="I8" t="s">
        <v>9</v>
      </c>
      <c r="J8">
        <v>1.2</v>
      </c>
      <c r="K8">
        <v>0.11</v>
      </c>
      <c r="M8" t="s">
        <v>9</v>
      </c>
      <c r="N8">
        <v>1.17</v>
      </c>
      <c r="O8">
        <v>0.21299999999999999</v>
      </c>
      <c r="Q8" t="s">
        <v>9</v>
      </c>
      <c r="R8">
        <v>1.32</v>
      </c>
      <c r="S8">
        <v>6.2E-2</v>
      </c>
    </row>
    <row r="9" spans="1:19" x14ac:dyDescent="0.25">
      <c r="A9" t="s">
        <v>6</v>
      </c>
      <c r="B9" s="2">
        <v>1.36</v>
      </c>
      <c r="C9">
        <v>0.16200000000000001</v>
      </c>
      <c r="E9" t="s">
        <v>6</v>
      </c>
      <c r="F9" s="2">
        <v>1.56</v>
      </c>
      <c r="G9">
        <v>0.1</v>
      </c>
      <c r="I9" t="s">
        <v>6</v>
      </c>
      <c r="J9">
        <v>1.39</v>
      </c>
      <c r="K9">
        <v>0.22800000000000001</v>
      </c>
      <c r="M9" t="s">
        <v>6</v>
      </c>
      <c r="N9">
        <v>1.1599999999999999</v>
      </c>
      <c r="O9">
        <v>0.64200000000000002</v>
      </c>
      <c r="Q9" t="s">
        <v>6</v>
      </c>
      <c r="R9">
        <v>0.92</v>
      </c>
      <c r="S9">
        <v>0.83499999999999996</v>
      </c>
    </row>
    <row r="10" spans="1:19" x14ac:dyDescent="0.25">
      <c r="A10" t="s">
        <v>7</v>
      </c>
      <c r="B10" s="2">
        <v>0.41</v>
      </c>
      <c r="C10">
        <v>0</v>
      </c>
      <c r="E10" t="s">
        <v>7</v>
      </c>
      <c r="F10" s="2">
        <v>0.43</v>
      </c>
      <c r="G10">
        <v>0</v>
      </c>
      <c r="I10" t="s">
        <v>7</v>
      </c>
      <c r="J10">
        <v>0.43</v>
      </c>
      <c r="K10">
        <v>0</v>
      </c>
      <c r="M10" t="s">
        <v>7</v>
      </c>
      <c r="N10">
        <v>0.48</v>
      </c>
      <c r="O10">
        <v>0</v>
      </c>
      <c r="Q10" t="s">
        <v>7</v>
      </c>
      <c r="R10">
        <v>0.55000000000000004</v>
      </c>
      <c r="S10">
        <v>0</v>
      </c>
    </row>
    <row r="11" spans="1:19" x14ac:dyDescent="0.25">
      <c r="A11" t="s">
        <v>98</v>
      </c>
      <c r="B11" s="2">
        <v>0.8</v>
      </c>
      <c r="C11">
        <v>0</v>
      </c>
      <c r="E11" t="s">
        <v>98</v>
      </c>
      <c r="F11" s="2">
        <v>0.81</v>
      </c>
      <c r="G11">
        <v>0</v>
      </c>
      <c r="I11" t="s">
        <v>98</v>
      </c>
      <c r="J11">
        <v>0.81</v>
      </c>
      <c r="K11">
        <v>0</v>
      </c>
      <c r="M11" t="s">
        <v>98</v>
      </c>
      <c r="N11">
        <v>0.87</v>
      </c>
      <c r="O11">
        <v>4.2999999999999997E-2</v>
      </c>
      <c r="Q11" t="s">
        <v>98</v>
      </c>
      <c r="R11">
        <v>0.94</v>
      </c>
      <c r="S11">
        <v>0.40899999999999997</v>
      </c>
    </row>
    <row r="13" spans="1:19" x14ac:dyDescent="0.25">
      <c r="E13" t="s">
        <v>108</v>
      </c>
      <c r="F13" s="2">
        <v>2.13</v>
      </c>
      <c r="G13">
        <v>1E-3</v>
      </c>
      <c r="I13" t="s">
        <v>108</v>
      </c>
      <c r="J13">
        <v>1.9</v>
      </c>
      <c r="K13">
        <v>7.0000000000000001E-3</v>
      </c>
      <c r="M13" t="s">
        <v>108</v>
      </c>
      <c r="N13">
        <v>2.4900000000000002</v>
      </c>
      <c r="O13">
        <v>0</v>
      </c>
      <c r="Q13" t="s">
        <v>108</v>
      </c>
      <c r="R13">
        <v>1.61</v>
      </c>
      <c r="S13">
        <v>0.183</v>
      </c>
    </row>
    <row r="14" spans="1:19" x14ac:dyDescent="0.25">
      <c r="E14" t="s">
        <v>109</v>
      </c>
      <c r="F14" s="2">
        <v>0.91</v>
      </c>
      <c r="G14">
        <v>0.55400000000000005</v>
      </c>
      <c r="I14" t="s">
        <v>109</v>
      </c>
      <c r="J14">
        <v>0.9</v>
      </c>
      <c r="K14">
        <v>0.53600000000000003</v>
      </c>
      <c r="M14" t="s">
        <v>109</v>
      </c>
      <c r="N14">
        <v>1.19</v>
      </c>
      <c r="O14">
        <v>0.34100000000000003</v>
      </c>
      <c r="Q14" t="s">
        <v>109</v>
      </c>
      <c r="R14">
        <v>1.0900000000000001</v>
      </c>
      <c r="S14">
        <v>0.68100000000000005</v>
      </c>
    </row>
    <row r="15" spans="1:19" x14ac:dyDescent="0.25">
      <c r="E15" t="s">
        <v>110</v>
      </c>
      <c r="F15" s="2">
        <v>1.54</v>
      </c>
      <c r="G15">
        <v>1E-3</v>
      </c>
      <c r="I15" t="s">
        <v>110</v>
      </c>
      <c r="J15">
        <v>1.51</v>
      </c>
      <c r="K15">
        <v>3.0000000000000001E-3</v>
      </c>
      <c r="M15" t="s">
        <v>110</v>
      </c>
      <c r="N15">
        <v>2</v>
      </c>
      <c r="O15">
        <v>0</v>
      </c>
      <c r="Q15" t="s">
        <v>110</v>
      </c>
      <c r="R15">
        <v>1.45</v>
      </c>
      <c r="S15">
        <v>7.4999999999999997E-2</v>
      </c>
    </row>
    <row r="16" spans="1:19" x14ac:dyDescent="0.25">
      <c r="E16" t="s">
        <v>111</v>
      </c>
      <c r="F16" s="2">
        <v>1.66</v>
      </c>
      <c r="G16">
        <v>4.0000000000000001E-3</v>
      </c>
      <c r="I16" t="s">
        <v>111</v>
      </c>
      <c r="J16">
        <v>1.64</v>
      </c>
      <c r="K16">
        <v>4.0000000000000001E-3</v>
      </c>
      <c r="M16" t="s">
        <v>111</v>
      </c>
      <c r="N16">
        <v>1.9</v>
      </c>
      <c r="O16">
        <v>1E-3</v>
      </c>
      <c r="Q16" t="s">
        <v>111</v>
      </c>
      <c r="R16">
        <v>1.67</v>
      </c>
      <c r="S16">
        <v>2.7E-2</v>
      </c>
    </row>
    <row r="17" spans="5:19" x14ac:dyDescent="0.25">
      <c r="E17" t="s">
        <v>112</v>
      </c>
      <c r="F17" s="2">
        <v>2.44</v>
      </c>
      <c r="G17">
        <v>0</v>
      </c>
      <c r="I17" t="s">
        <v>112</v>
      </c>
      <c r="J17">
        <v>2.4900000000000002</v>
      </c>
      <c r="K17">
        <v>0</v>
      </c>
      <c r="M17" t="s">
        <v>112</v>
      </c>
      <c r="N17">
        <v>2.73</v>
      </c>
      <c r="O17">
        <v>0</v>
      </c>
      <c r="Q17" t="s">
        <v>112</v>
      </c>
      <c r="R17">
        <v>1.98</v>
      </c>
      <c r="S17">
        <v>4.0000000000000001E-3</v>
      </c>
    </row>
    <row r="18" spans="5:19" x14ac:dyDescent="0.25">
      <c r="E18" t="s">
        <v>113</v>
      </c>
      <c r="F18" s="2">
        <v>0.37</v>
      </c>
      <c r="G18">
        <v>0</v>
      </c>
      <c r="I18" t="s">
        <v>113</v>
      </c>
      <c r="J18">
        <v>0.36</v>
      </c>
      <c r="K18">
        <v>0</v>
      </c>
      <c r="M18" t="s">
        <v>113</v>
      </c>
      <c r="N18">
        <v>0.42</v>
      </c>
      <c r="O18">
        <v>0</v>
      </c>
      <c r="Q18" t="s">
        <v>113</v>
      </c>
      <c r="R18">
        <v>0.33</v>
      </c>
      <c r="S18">
        <v>0</v>
      </c>
    </row>
    <row r="19" spans="5:19" x14ac:dyDescent="0.25">
      <c r="E19" t="s">
        <v>114</v>
      </c>
      <c r="F19" s="2">
        <v>0.73</v>
      </c>
      <c r="G19">
        <v>0.192</v>
      </c>
      <c r="I19" t="s">
        <v>114</v>
      </c>
      <c r="J19">
        <v>0.68</v>
      </c>
      <c r="K19">
        <v>0.11899999999999999</v>
      </c>
      <c r="M19" t="s">
        <v>114</v>
      </c>
      <c r="N19">
        <v>0.83</v>
      </c>
      <c r="O19">
        <v>0.48299999999999998</v>
      </c>
      <c r="Q19" t="s">
        <v>114</v>
      </c>
      <c r="R19">
        <v>0.99</v>
      </c>
      <c r="S19">
        <v>0.98599999999999999</v>
      </c>
    </row>
    <row r="20" spans="5:19" x14ac:dyDescent="0.25">
      <c r="E20" t="s">
        <v>115</v>
      </c>
      <c r="F20" s="2">
        <v>0.46</v>
      </c>
      <c r="G20">
        <v>0.249</v>
      </c>
      <c r="I20" t="s">
        <v>115</v>
      </c>
      <c r="J20">
        <v>0.51</v>
      </c>
      <c r="K20">
        <v>0.28499999999999998</v>
      </c>
      <c r="M20" t="s">
        <v>115</v>
      </c>
      <c r="N20">
        <v>0.62</v>
      </c>
      <c r="O20">
        <v>0.48099999999999998</v>
      </c>
      <c r="Q20" t="s">
        <v>115</v>
      </c>
      <c r="R20">
        <v>0.88</v>
      </c>
      <c r="S20">
        <v>0.85799999999999998</v>
      </c>
    </row>
    <row r="21" spans="5:19" x14ac:dyDescent="0.25">
      <c r="E21" t="s">
        <v>116</v>
      </c>
      <c r="F21" s="2">
        <v>1.47</v>
      </c>
      <c r="G21">
        <v>0.249</v>
      </c>
      <c r="I21" t="s">
        <v>116</v>
      </c>
      <c r="J21">
        <v>1.38</v>
      </c>
      <c r="K21">
        <v>0.33700000000000002</v>
      </c>
      <c r="M21" t="s">
        <v>116</v>
      </c>
      <c r="N21">
        <v>1.77</v>
      </c>
      <c r="O21">
        <v>0.109</v>
      </c>
      <c r="Q21" t="s">
        <v>116</v>
      </c>
      <c r="R21">
        <v>1.77</v>
      </c>
      <c r="S21">
        <v>0.247</v>
      </c>
    </row>
    <row r="22" spans="5:19" x14ac:dyDescent="0.25">
      <c r="E22" t="s">
        <v>117</v>
      </c>
      <c r="F22" s="2">
        <v>4.1500000000000004</v>
      </c>
      <c r="G22">
        <v>0</v>
      </c>
      <c r="I22" t="s">
        <v>117</v>
      </c>
      <c r="J22">
        <v>3.52</v>
      </c>
      <c r="K22">
        <v>0</v>
      </c>
      <c r="M22" t="s">
        <v>117</v>
      </c>
      <c r="N22">
        <v>4.58</v>
      </c>
      <c r="O22">
        <v>0</v>
      </c>
      <c r="Q22" t="s">
        <v>117</v>
      </c>
      <c r="R22">
        <v>8.27</v>
      </c>
      <c r="S22">
        <v>0</v>
      </c>
    </row>
    <row r="23" spans="5:19" x14ac:dyDescent="0.25">
      <c r="E23" t="s">
        <v>118</v>
      </c>
      <c r="F23" s="2">
        <v>1.08</v>
      </c>
      <c r="G23">
        <v>0.59599999999999997</v>
      </c>
      <c r="I23" t="s">
        <v>118</v>
      </c>
      <c r="J23">
        <v>1.1100000000000001</v>
      </c>
      <c r="K23">
        <v>0.48499999999999999</v>
      </c>
    </row>
    <row r="25" spans="5:19" x14ac:dyDescent="0.25">
      <c r="E25" t="s">
        <v>82</v>
      </c>
      <c r="F25" s="2">
        <v>0.11</v>
      </c>
      <c r="G25">
        <v>5.1999999999999998E-2</v>
      </c>
      <c r="I25" t="s">
        <v>82</v>
      </c>
      <c r="J25">
        <v>0.21</v>
      </c>
      <c r="K25">
        <v>0.22500000000000001</v>
      </c>
      <c r="M25" t="s">
        <v>82</v>
      </c>
      <c r="N25">
        <v>0.78</v>
      </c>
      <c r="O25">
        <v>0.75</v>
      </c>
      <c r="Q25" t="s">
        <v>82</v>
      </c>
      <c r="R25">
        <v>3.58</v>
      </c>
      <c r="S25">
        <v>0.16200000000000001</v>
      </c>
    </row>
    <row r="26" spans="5:19" x14ac:dyDescent="0.25">
      <c r="E26" t="s">
        <v>83</v>
      </c>
      <c r="F26" s="2">
        <v>0.84</v>
      </c>
      <c r="G26">
        <v>0.18</v>
      </c>
      <c r="I26" t="s">
        <v>83</v>
      </c>
      <c r="J26">
        <v>1.7</v>
      </c>
      <c r="K26">
        <v>2E-3</v>
      </c>
      <c r="M26" t="s">
        <v>83</v>
      </c>
      <c r="N26">
        <v>1.34</v>
      </c>
      <c r="O26">
        <v>0.13400000000000001</v>
      </c>
      <c r="Q26" t="s">
        <v>83</v>
      </c>
      <c r="R26">
        <v>1.55</v>
      </c>
      <c r="S26">
        <v>0.06</v>
      </c>
    </row>
    <row r="27" spans="5:19" x14ac:dyDescent="0.25">
      <c r="E27" t="s">
        <v>84</v>
      </c>
      <c r="F27" s="2">
        <v>0.44</v>
      </c>
      <c r="G27">
        <v>0</v>
      </c>
      <c r="I27" t="s">
        <v>84</v>
      </c>
      <c r="J27">
        <v>0.92</v>
      </c>
      <c r="K27">
        <v>0.74399999999999999</v>
      </c>
      <c r="M27" t="s">
        <v>84</v>
      </c>
      <c r="N27">
        <v>0.84</v>
      </c>
      <c r="O27">
        <v>0.53400000000000003</v>
      </c>
      <c r="Q27" t="s">
        <v>84</v>
      </c>
      <c r="R27">
        <v>1.18</v>
      </c>
      <c r="S27">
        <v>0.63</v>
      </c>
    </row>
    <row r="28" spans="5:19" x14ac:dyDescent="0.25">
      <c r="E28" t="s">
        <v>85</v>
      </c>
      <c r="F28" s="2">
        <v>0.62</v>
      </c>
      <c r="G28">
        <v>1E-3</v>
      </c>
      <c r="I28" t="s">
        <v>85</v>
      </c>
      <c r="J28">
        <v>1.2</v>
      </c>
      <c r="K28">
        <v>0.31900000000000001</v>
      </c>
      <c r="M28" t="s">
        <v>85</v>
      </c>
      <c r="N28">
        <v>1.1200000000000001</v>
      </c>
      <c r="O28">
        <v>0.57699999999999996</v>
      </c>
      <c r="Q28" t="s">
        <v>85</v>
      </c>
      <c r="R28">
        <v>1.31</v>
      </c>
      <c r="S28">
        <v>0.25</v>
      </c>
    </row>
    <row r="29" spans="5:19" x14ac:dyDescent="0.25">
      <c r="E29" t="s">
        <v>86</v>
      </c>
      <c r="F29" s="2">
        <v>0.79</v>
      </c>
      <c r="G29">
        <v>9.8000000000000004E-2</v>
      </c>
      <c r="I29" t="s">
        <v>86</v>
      </c>
      <c r="J29">
        <v>1.57</v>
      </c>
      <c r="K29">
        <v>1.4999999999999999E-2</v>
      </c>
      <c r="M29" t="s">
        <v>86</v>
      </c>
      <c r="N29">
        <v>1.37</v>
      </c>
      <c r="O29">
        <v>0.123</v>
      </c>
      <c r="Q29" t="s">
        <v>86</v>
      </c>
      <c r="R29">
        <v>1.59</v>
      </c>
      <c r="S29">
        <v>5.3999999999999999E-2</v>
      </c>
    </row>
    <row r="30" spans="5:19" x14ac:dyDescent="0.25">
      <c r="E30" t="s">
        <v>81</v>
      </c>
      <c r="F30" s="2">
        <v>0.86</v>
      </c>
      <c r="G30">
        <v>0.42399999999999999</v>
      </c>
      <c r="I30" t="s">
        <v>81</v>
      </c>
      <c r="J30">
        <v>1.68</v>
      </c>
      <c r="K30">
        <v>1.4999999999999999E-2</v>
      </c>
      <c r="M30" t="s">
        <v>81</v>
      </c>
      <c r="N30">
        <v>1.44</v>
      </c>
      <c r="O30">
        <v>0.129</v>
      </c>
      <c r="Q30" t="s">
        <v>81</v>
      </c>
      <c r="R30">
        <v>2.56</v>
      </c>
      <c r="S30">
        <v>1E-3</v>
      </c>
    </row>
    <row r="32" spans="5:19" x14ac:dyDescent="0.25">
      <c r="I32" t="s">
        <v>19</v>
      </c>
      <c r="J32">
        <v>0.9</v>
      </c>
      <c r="K32">
        <v>0.47</v>
      </c>
      <c r="M32" t="s">
        <v>19</v>
      </c>
      <c r="N32">
        <v>0.92</v>
      </c>
      <c r="O32">
        <v>0.623</v>
      </c>
      <c r="Q32" t="s">
        <v>19</v>
      </c>
      <c r="R32">
        <v>1.03</v>
      </c>
      <c r="S32">
        <v>0.89700000000000002</v>
      </c>
    </row>
    <row r="33" spans="9:19" x14ac:dyDescent="0.25">
      <c r="I33" t="s">
        <v>20</v>
      </c>
      <c r="J33">
        <v>1.36</v>
      </c>
      <c r="K33">
        <v>8.9999999999999993E-3</v>
      </c>
      <c r="M33" t="s">
        <v>20</v>
      </c>
      <c r="N33">
        <v>1.33</v>
      </c>
      <c r="O33">
        <v>3.1E-2</v>
      </c>
      <c r="Q33" t="s">
        <v>20</v>
      </c>
      <c r="R33">
        <v>1.39</v>
      </c>
      <c r="S33">
        <v>0.04</v>
      </c>
    </row>
    <row r="34" spans="9:19" x14ac:dyDescent="0.25">
      <c r="I34" t="s">
        <v>21</v>
      </c>
      <c r="J34">
        <v>1.1000000000000001</v>
      </c>
      <c r="K34">
        <v>0.434</v>
      </c>
      <c r="M34" t="s">
        <v>21</v>
      </c>
      <c r="N34">
        <v>1.2</v>
      </c>
      <c r="O34">
        <v>0.17599999999999999</v>
      </c>
      <c r="Q34" t="s">
        <v>21</v>
      </c>
      <c r="R34">
        <v>1.25</v>
      </c>
      <c r="S34">
        <v>0.16</v>
      </c>
    </row>
    <row r="35" spans="9:19" x14ac:dyDescent="0.25">
      <c r="I35" t="s">
        <v>22</v>
      </c>
      <c r="J35">
        <v>1.57</v>
      </c>
      <c r="K35">
        <v>0</v>
      </c>
      <c r="M35" t="s">
        <v>22</v>
      </c>
      <c r="N35">
        <v>1.54</v>
      </c>
      <c r="O35">
        <v>0</v>
      </c>
      <c r="Q35" t="s">
        <v>22</v>
      </c>
      <c r="R35">
        <v>1.54</v>
      </c>
      <c r="S35">
        <v>0</v>
      </c>
    </row>
    <row r="36" spans="9:19" x14ac:dyDescent="0.25">
      <c r="M36" t="s">
        <v>23</v>
      </c>
      <c r="N36">
        <v>1.03</v>
      </c>
      <c r="O36">
        <v>5.8000000000000003E-2</v>
      </c>
      <c r="Q36" t="s">
        <v>23</v>
      </c>
      <c r="R36">
        <v>1.03</v>
      </c>
      <c r="S36">
        <v>0.159</v>
      </c>
    </row>
    <row r="38" spans="9:19" x14ac:dyDescent="0.25">
      <c r="M38" t="s">
        <v>30</v>
      </c>
      <c r="N38">
        <v>0.96</v>
      </c>
      <c r="O38">
        <v>0.72699999999999998</v>
      </c>
      <c r="Q38" t="s">
        <v>30</v>
      </c>
      <c r="R38">
        <v>0.93</v>
      </c>
      <c r="S38">
        <v>0.67300000000000004</v>
      </c>
    </row>
    <row r="39" spans="9:19" x14ac:dyDescent="0.25">
      <c r="M39" t="s">
        <v>31</v>
      </c>
      <c r="N39">
        <v>1.0900000000000001</v>
      </c>
      <c r="O39">
        <v>0.58799999999999997</v>
      </c>
      <c r="Q39" t="s">
        <v>31</v>
      </c>
      <c r="R39">
        <v>1.02</v>
      </c>
      <c r="S39">
        <v>0.94699999999999995</v>
      </c>
    </row>
    <row r="40" spans="9:19" x14ac:dyDescent="0.25">
      <c r="M40" t="s">
        <v>32</v>
      </c>
      <c r="N40">
        <v>2.46</v>
      </c>
      <c r="O40">
        <v>1E-3</v>
      </c>
      <c r="Q40" t="s">
        <v>32</v>
      </c>
      <c r="R40">
        <v>2.2999999999999998</v>
      </c>
      <c r="S40">
        <v>2.4E-2</v>
      </c>
    </row>
    <row r="41" spans="9:19" x14ac:dyDescent="0.25">
      <c r="Q41" t="s">
        <v>33</v>
      </c>
      <c r="R41">
        <v>0.63</v>
      </c>
      <c r="S41">
        <v>1E-3</v>
      </c>
    </row>
    <row r="42" spans="9:19" x14ac:dyDescent="0.25">
      <c r="Q42" t="s">
        <v>34</v>
      </c>
      <c r="R42">
        <v>1.21</v>
      </c>
      <c r="S42">
        <v>0.216</v>
      </c>
    </row>
    <row r="44" spans="9:19" x14ac:dyDescent="0.25">
      <c r="Q44" t="s">
        <v>35</v>
      </c>
      <c r="R44">
        <v>0.63</v>
      </c>
      <c r="S44">
        <v>8.6999999999999994E-2</v>
      </c>
    </row>
    <row r="45" spans="9:19" x14ac:dyDescent="0.25">
      <c r="Q45" t="s">
        <v>36</v>
      </c>
      <c r="R45">
        <v>0.68</v>
      </c>
      <c r="S45">
        <v>0.22500000000000001</v>
      </c>
    </row>
    <row r="46" spans="9:19" x14ac:dyDescent="0.25">
      <c r="Q46" t="s">
        <v>37</v>
      </c>
      <c r="R46">
        <v>0.73</v>
      </c>
      <c r="S46">
        <v>0.40100000000000002</v>
      </c>
    </row>
    <row r="48" spans="9:19" x14ac:dyDescent="0.25">
      <c r="Q48" t="s">
        <v>40</v>
      </c>
      <c r="R48">
        <v>4.1399999999999997</v>
      </c>
      <c r="S48">
        <v>0.14099999999999999</v>
      </c>
    </row>
    <row r="49" spans="17:19" x14ac:dyDescent="0.25">
      <c r="Q49" t="s">
        <v>123</v>
      </c>
      <c r="R49">
        <v>0.72</v>
      </c>
      <c r="S49">
        <v>2.7E-2</v>
      </c>
    </row>
    <row r="50" spans="17:19" x14ac:dyDescent="0.25">
      <c r="Q50" t="s">
        <v>124</v>
      </c>
      <c r="R50">
        <v>1.1200000000000001</v>
      </c>
      <c r="S50">
        <v>0.66100000000000003</v>
      </c>
    </row>
    <row r="51" spans="17:19" x14ac:dyDescent="0.25">
      <c r="Q51" t="s">
        <v>125</v>
      </c>
      <c r="R51">
        <v>0.94</v>
      </c>
      <c r="S51">
        <v>0.69</v>
      </c>
    </row>
    <row r="52" spans="17:19" x14ac:dyDescent="0.25">
      <c r="Q52" t="s">
        <v>41</v>
      </c>
      <c r="R52">
        <v>0.77</v>
      </c>
      <c r="S52">
        <v>0.249</v>
      </c>
    </row>
    <row r="53" spans="17:19" x14ac:dyDescent="0.25">
      <c r="Q53" t="s">
        <v>38</v>
      </c>
      <c r="R53">
        <v>0.91</v>
      </c>
      <c r="S53">
        <v>0.26300000000000001</v>
      </c>
    </row>
    <row r="54" spans="17:19" x14ac:dyDescent="0.25">
      <c r="Q54" t="s">
        <v>48</v>
      </c>
      <c r="R54">
        <v>1.02</v>
      </c>
      <c r="S54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C97C-9846-44C6-8D4A-D496E7EE987E}">
  <dimension ref="A1:CB93"/>
  <sheetViews>
    <sheetView topLeftCell="A16" zoomScaleNormal="100" workbookViewId="0">
      <selection activeCell="BW3" sqref="BW3"/>
    </sheetView>
  </sheetViews>
  <sheetFormatPr defaultColWidth="15.7109375" defaultRowHeight="15" customHeight="1" x14ac:dyDescent="0.25"/>
  <cols>
    <col min="1" max="4" width="15.7109375" style="4"/>
    <col min="5" max="5" width="33.7109375" style="4" bestFit="1" customWidth="1"/>
    <col min="6" max="6" width="15.7109375" style="4"/>
    <col min="7" max="7" width="20.28515625" style="2" customWidth="1"/>
    <col min="8" max="8" width="36" style="4" customWidth="1"/>
    <col min="9" max="11" width="15.7109375" style="4"/>
    <col min="12" max="12" width="15.7109375" style="4" customWidth="1"/>
    <col min="13" max="13" width="15.7109375" style="4"/>
    <col min="14" max="14" width="15.7109375" style="2"/>
    <col min="15" max="16" width="15.7109375" style="4"/>
    <col min="17" max="17" width="15.7109375" style="4" customWidth="1"/>
    <col min="18" max="18" width="15.7109375" style="4"/>
    <col min="19" max="19" width="15.7109375" style="2"/>
    <col min="20" max="20" width="12.28515625" style="4" customWidth="1"/>
    <col min="21" max="21" width="13.42578125" style="2" customWidth="1"/>
    <col min="22" max="22" width="29.85546875" style="2" customWidth="1"/>
    <col min="23" max="23" width="15.7109375" style="2"/>
    <col min="24" max="27" width="15.7109375" style="4"/>
    <col min="28" max="28" width="15.7109375" style="2"/>
    <col min="29" max="29" width="42.140625" style="4" bestFit="1" customWidth="1"/>
    <col min="30" max="30" width="15.7109375" style="4" customWidth="1"/>
    <col min="31" max="33" width="15.7109375" style="4"/>
    <col min="34" max="34" width="15.7109375" style="18"/>
    <col min="35" max="35" width="7.7109375" style="2" customWidth="1"/>
    <col min="36" max="36" width="35.7109375" style="4" customWidth="1"/>
    <col min="37" max="37" width="30.5703125" style="4" customWidth="1"/>
    <col min="38" max="38" width="19" style="4" customWidth="1"/>
    <col min="39" max="41" width="15.7109375" style="4"/>
    <col min="42" max="42" width="15.7109375" style="2"/>
    <col min="43" max="43" width="15.7109375" style="4"/>
    <col min="44" max="44" width="3.7109375" style="4" customWidth="1"/>
    <col min="45" max="45" width="34.42578125" style="4" customWidth="1"/>
    <col min="46" max="49" width="15.7109375" style="4"/>
    <col min="50" max="50" width="15.7109375" style="2"/>
    <col min="51" max="51" width="9" style="2" customWidth="1"/>
    <col min="52" max="52" width="4.5703125" style="4" customWidth="1"/>
    <col min="53" max="53" width="38.42578125" style="4" customWidth="1"/>
    <col min="54" max="57" width="15.7109375" style="4"/>
    <col min="58" max="59" width="15.7109375" style="2"/>
    <col min="60" max="61" width="15.7109375" style="4"/>
    <col min="62" max="62" width="2.7109375" style="4" customWidth="1"/>
    <col min="63" max="63" width="35.5703125" style="4" customWidth="1"/>
    <col min="64" max="67" width="15.7109375" style="4"/>
    <col min="68" max="68" width="15.7109375" style="2"/>
    <col min="69" max="69" width="15.7109375" style="4"/>
    <col min="70" max="70" width="15.7109375" style="2"/>
    <col min="71" max="71" width="15.7109375" style="4"/>
    <col min="72" max="72" width="1.42578125" style="4" customWidth="1"/>
    <col min="73" max="73" width="31" style="4" customWidth="1"/>
    <col min="74" max="77" width="15.7109375" style="4"/>
    <col min="78" max="78" width="15.7109375" style="2"/>
    <col min="79" max="79" width="15.7109375" style="4"/>
    <col min="80" max="80" width="15.7109375" style="2"/>
    <col min="81" max="16384" width="15.7109375" style="4"/>
  </cols>
  <sheetData>
    <row r="1" spans="1:79" ht="15" customHeight="1" x14ac:dyDescent="0.25">
      <c r="BA1" s="4">
        <v>2017</v>
      </c>
      <c r="BK1" s="4">
        <v>2018</v>
      </c>
      <c r="BU1" s="4">
        <v>2019</v>
      </c>
    </row>
    <row r="2" spans="1:79" ht="15" customHeight="1" x14ac:dyDescent="0.25">
      <c r="AK2" s="4" t="s">
        <v>77</v>
      </c>
      <c r="AS2" s="4">
        <v>2016</v>
      </c>
    </row>
    <row r="3" spans="1:79" ht="15" customHeight="1" x14ac:dyDescent="0.25">
      <c r="Q3" s="8"/>
      <c r="R3" s="8"/>
      <c r="S3" s="9"/>
      <c r="T3" s="8"/>
      <c r="U3" s="9"/>
      <c r="V3" s="9"/>
      <c r="W3" s="9"/>
      <c r="X3" s="8"/>
      <c r="Y3" s="8"/>
      <c r="Z3" s="8"/>
      <c r="AA3" s="8"/>
      <c r="AB3" s="9"/>
      <c r="AC3" s="8"/>
      <c r="AD3" s="8"/>
      <c r="AE3" s="8"/>
      <c r="AF3" s="8"/>
      <c r="AG3" s="8"/>
      <c r="AI3" s="9"/>
      <c r="AJ3" s="8"/>
      <c r="BK3" s="14"/>
    </row>
    <row r="4" spans="1:79" ht="15" customHeight="1" x14ac:dyDescent="0.25">
      <c r="AZ4" s="14"/>
      <c r="BK4" s="14"/>
    </row>
    <row r="5" spans="1:79" ht="15" customHeight="1" x14ac:dyDescent="0.25">
      <c r="F5" s="15"/>
      <c r="G5" s="12"/>
      <c r="M5" s="15"/>
      <c r="N5" s="12"/>
      <c r="S5" s="12"/>
      <c r="T5" s="15"/>
      <c r="U5" s="12"/>
      <c r="V5" s="12"/>
      <c r="W5" s="12"/>
      <c r="Y5" s="15"/>
      <c r="Z5" s="6"/>
      <c r="AA5" s="15"/>
      <c r="AB5" s="12"/>
      <c r="AI5" s="12"/>
      <c r="AJ5" s="10"/>
      <c r="AR5" s="14"/>
      <c r="AS5" s="14"/>
      <c r="AZ5" s="14"/>
      <c r="BA5" s="14"/>
      <c r="BK5" s="14"/>
      <c r="BU5" s="14"/>
      <c r="BV5" s="4" t="s">
        <v>76</v>
      </c>
      <c r="BW5" s="4" t="s">
        <v>106</v>
      </c>
      <c r="BX5" s="4" t="s">
        <v>75</v>
      </c>
      <c r="BY5" s="4" t="s">
        <v>100</v>
      </c>
      <c r="BZ5" s="2" t="s">
        <v>78</v>
      </c>
    </row>
    <row r="6" spans="1:79" ht="15" customHeight="1" x14ac:dyDescent="0.25">
      <c r="B6" s="4" t="s">
        <v>73</v>
      </c>
      <c r="C6" s="4" t="s">
        <v>74</v>
      </c>
      <c r="D6" s="4" t="s">
        <v>75</v>
      </c>
      <c r="E6" s="2" t="s">
        <v>46</v>
      </c>
      <c r="F6" s="15" t="s">
        <v>100</v>
      </c>
      <c r="G6" s="12" t="s">
        <v>78</v>
      </c>
      <c r="I6" s="4" t="s">
        <v>73</v>
      </c>
      <c r="J6" s="4" t="s">
        <v>74</v>
      </c>
      <c r="K6" s="4" t="s">
        <v>75</v>
      </c>
      <c r="L6" s="2" t="s">
        <v>46</v>
      </c>
      <c r="M6" s="15" t="s">
        <v>100</v>
      </c>
      <c r="N6" s="12" t="s">
        <v>78</v>
      </c>
      <c r="P6" s="4" t="s">
        <v>73</v>
      </c>
      <c r="Q6" s="4" t="s">
        <v>74</v>
      </c>
      <c r="R6" s="4" t="s">
        <v>75</v>
      </c>
      <c r="S6" s="12" t="s">
        <v>46</v>
      </c>
      <c r="T6" s="15" t="s">
        <v>100</v>
      </c>
      <c r="U6" s="12" t="s">
        <v>78</v>
      </c>
      <c r="V6" s="12"/>
      <c r="W6" s="12" t="s">
        <v>73</v>
      </c>
      <c r="X6" s="4" t="s">
        <v>74</v>
      </c>
      <c r="Y6" s="15" t="s">
        <v>75</v>
      </c>
      <c r="Z6" s="12" t="s">
        <v>46</v>
      </c>
      <c r="AA6" s="15" t="s">
        <v>100</v>
      </c>
      <c r="AB6" s="12" t="s">
        <v>78</v>
      </c>
      <c r="AD6" s="4" t="s">
        <v>73</v>
      </c>
      <c r="AE6" s="4" t="s">
        <v>74</v>
      </c>
      <c r="AF6" s="4" t="s">
        <v>75</v>
      </c>
      <c r="AG6" s="4" t="s">
        <v>46</v>
      </c>
      <c r="AH6" s="18" t="s">
        <v>100</v>
      </c>
      <c r="AI6" s="12" t="s">
        <v>78</v>
      </c>
      <c r="AJ6" s="10"/>
      <c r="AK6" s="14"/>
      <c r="AL6" s="14" t="s">
        <v>73</v>
      </c>
      <c r="AM6" s="4" t="s">
        <v>74</v>
      </c>
      <c r="AN6" s="4" t="s">
        <v>75</v>
      </c>
      <c r="AO6" s="4" t="s">
        <v>100</v>
      </c>
      <c r="AP6" s="2" t="s">
        <v>107</v>
      </c>
      <c r="AR6" s="14"/>
      <c r="AS6" s="6"/>
      <c r="AT6" s="4" t="s">
        <v>73</v>
      </c>
      <c r="AU6" s="4" t="s">
        <v>74</v>
      </c>
      <c r="AV6" s="4" t="s">
        <v>75</v>
      </c>
      <c r="AW6" s="4" t="s">
        <v>100</v>
      </c>
      <c r="AX6" s="2" t="s">
        <v>78</v>
      </c>
      <c r="AZ6" s="14"/>
      <c r="BA6" s="10"/>
      <c r="BB6" s="4" t="s">
        <v>105</v>
      </c>
      <c r="BC6" s="4" t="s">
        <v>106</v>
      </c>
      <c r="BD6" s="4" t="s">
        <v>75</v>
      </c>
      <c r="BE6" s="4" t="s">
        <v>100</v>
      </c>
      <c r="BF6" s="2" t="s">
        <v>78</v>
      </c>
      <c r="BK6" s="10"/>
      <c r="BL6" s="4" t="s">
        <v>76</v>
      </c>
      <c r="BM6" s="4" t="s">
        <v>106</v>
      </c>
      <c r="BN6" s="4" t="s">
        <v>75</v>
      </c>
      <c r="BO6" s="4" t="s">
        <v>100</v>
      </c>
      <c r="BP6" s="2" t="s">
        <v>78</v>
      </c>
      <c r="BU6" s="6" t="s">
        <v>0</v>
      </c>
      <c r="BV6" s="12">
        <v>0.1133</v>
      </c>
      <c r="BW6" s="12">
        <v>7.1959999999999996E-2</v>
      </c>
      <c r="BX6" s="4">
        <v>1.575</v>
      </c>
      <c r="BY6" s="4">
        <v>0.11655799999999999</v>
      </c>
      <c r="BZ6" s="2">
        <f>EXP(BV6)</f>
        <v>1.1199678729169462</v>
      </c>
    </row>
    <row r="7" spans="1:79" ht="15" customHeight="1" x14ac:dyDescent="0.25">
      <c r="A7" s="4" t="s">
        <v>1</v>
      </c>
      <c r="B7" s="4">
        <v>9.6727209999999994E-2</v>
      </c>
      <c r="C7" s="4">
        <v>1.9799587E-2</v>
      </c>
      <c r="D7" s="4">
        <v>4.8853144999999998</v>
      </c>
      <c r="E7" s="2">
        <v>4928.4960000000001</v>
      </c>
      <c r="F7" s="15">
        <v>1.0653420000000001E-6</v>
      </c>
      <c r="G7" s="12">
        <f t="shared" ref="G7:G16" si="0">EXP(B7)</f>
        <v>1.1015598381230935</v>
      </c>
      <c r="H7" s="4" t="s">
        <v>1</v>
      </c>
      <c r="I7" s="4">
        <v>0.10393466</v>
      </c>
      <c r="J7" s="4">
        <v>2.6940097E-2</v>
      </c>
      <c r="K7" s="4">
        <v>3.8579914</v>
      </c>
      <c r="L7" s="2">
        <v>3864.6080000000002</v>
      </c>
      <c r="M7" s="15">
        <v>1.161868E-4</v>
      </c>
      <c r="N7" s="12">
        <f t="shared" ref="N7:N35" si="1">EXP(I7)</f>
        <v>1.1095279559904241</v>
      </c>
      <c r="O7" s="4" t="s">
        <v>1</v>
      </c>
      <c r="P7" s="4">
        <v>0.10304193</v>
      </c>
      <c r="Q7" s="4">
        <v>2.86159E-2</v>
      </c>
      <c r="R7" s="4">
        <v>3.60086291</v>
      </c>
      <c r="S7" s="12">
        <v>3839.61</v>
      </c>
      <c r="T7" s="15">
        <v>3.2117410000000001E-4</v>
      </c>
      <c r="U7" s="12">
        <f t="shared" ref="U7:U40" si="2">EXP(P7)</f>
        <v>1.1085378890952367</v>
      </c>
      <c r="V7" s="12" t="s">
        <v>1</v>
      </c>
      <c r="W7" s="12">
        <v>0.1002851</v>
      </c>
      <c r="X7" s="4">
        <v>2.8922960000000001E-2</v>
      </c>
      <c r="Y7" s="15">
        <v>3.4673192400000001</v>
      </c>
      <c r="Z7" s="12">
        <v>3750.6190000000001</v>
      </c>
      <c r="AA7" s="15">
        <v>5.3158429999999998E-4</v>
      </c>
      <c r="AB7" s="12">
        <f t="shared" ref="AB7:AB28" si="3">EXP(W7)</f>
        <v>1.1054860472239165</v>
      </c>
      <c r="AC7" s="4" t="s">
        <v>1</v>
      </c>
      <c r="AD7" s="4">
        <v>0.12478509</v>
      </c>
      <c r="AE7" s="4">
        <v>3.2649909999999997E-2</v>
      </c>
      <c r="AF7" s="4">
        <v>3.8219120800000002</v>
      </c>
      <c r="AG7" s="4">
        <v>3255.6709999999998</v>
      </c>
      <c r="AH7" s="18">
        <v>1.3489679999999999E-4</v>
      </c>
      <c r="AI7" s="12">
        <f t="shared" ref="AI7:AI47" si="4">EXP(AD7)</f>
        <v>1.1329049542988749</v>
      </c>
      <c r="AJ7" s="10"/>
      <c r="AK7" s="6" t="s">
        <v>1</v>
      </c>
      <c r="AL7" s="14">
        <v>0.12479999999999999</v>
      </c>
      <c r="AM7" s="4">
        <v>3.2649999999999998E-2</v>
      </c>
      <c r="AN7" s="4">
        <v>3.8220000000000001</v>
      </c>
      <c r="AO7" s="4">
        <v>1.35E-4</v>
      </c>
      <c r="AP7" s="2">
        <f t="shared" ref="AP7:AP47" si="5">EXP(AL7)</f>
        <v>1.1329218460376713</v>
      </c>
      <c r="AR7" s="14"/>
      <c r="AS7" s="6" t="s">
        <v>1</v>
      </c>
      <c r="AT7" s="4">
        <v>0.14297000000000001</v>
      </c>
      <c r="AU7" s="4">
        <v>6.232E-2</v>
      </c>
      <c r="AV7" s="4">
        <v>2.294</v>
      </c>
      <c r="AW7" s="4">
        <v>2.2009999999999998E-2</v>
      </c>
      <c r="AX7" s="2">
        <f t="shared" ref="AX7:AX49" si="6">EXP(AT7)</f>
        <v>1.1536951902911337</v>
      </c>
      <c r="AZ7" s="14"/>
      <c r="BA7" s="6" t="s">
        <v>1</v>
      </c>
      <c r="BB7" s="4">
        <v>0.24099999999999999</v>
      </c>
      <c r="BC7" s="4">
        <v>6.0699999999999997E-2</v>
      </c>
      <c r="BD7" s="4">
        <v>3.97</v>
      </c>
      <c r="BE7" s="4">
        <v>7.7299999999999995E-5</v>
      </c>
      <c r="BF7" s="2">
        <f t="shared" ref="BF7:BF49" si="7">EXP(BB7)</f>
        <v>1.272521035308229</v>
      </c>
      <c r="BG7" s="2" t="s">
        <v>70</v>
      </c>
      <c r="BK7" s="6" t="s">
        <v>1</v>
      </c>
      <c r="BL7" s="4">
        <v>9.7799999999999998E-2</v>
      </c>
      <c r="BM7" s="4">
        <v>6.2489999999999997E-2</v>
      </c>
      <c r="BN7" s="4">
        <v>1.5649999999999999</v>
      </c>
      <c r="BO7" s="4">
        <v>0.11784</v>
      </c>
      <c r="BP7" s="2">
        <f t="shared" ref="BP7:BP26" si="8">EXP(BL7)</f>
        <v>1.1027422146092711</v>
      </c>
      <c r="BU7" s="6" t="s">
        <v>2</v>
      </c>
      <c r="BV7" s="14">
        <v>-0.98240000000000005</v>
      </c>
      <c r="BW7" s="4">
        <v>0.1956</v>
      </c>
      <c r="BX7" s="4">
        <v>-5.0229999999999997</v>
      </c>
      <c r="BY7" s="4">
        <v>5.9100000000000004E-7</v>
      </c>
      <c r="BZ7" s="2">
        <f t="shared" ref="BZ7:BZ47" si="9">EXP(BV7)</f>
        <v>0.37441143224592266</v>
      </c>
      <c r="CA7" s="4" t="s">
        <v>70</v>
      </c>
    </row>
    <row r="8" spans="1:79" ht="15" customHeight="1" x14ac:dyDescent="0.25">
      <c r="A8" s="4" t="s">
        <v>2</v>
      </c>
      <c r="B8" s="4">
        <v>-1.05191736</v>
      </c>
      <c r="C8" s="4">
        <v>7.6161382E-2</v>
      </c>
      <c r="D8" s="4">
        <v>-13.811689599999999</v>
      </c>
      <c r="E8" s="2">
        <v>4928.4960000000001</v>
      </c>
      <c r="F8" s="15">
        <v>1.33546E-42</v>
      </c>
      <c r="G8" s="12">
        <f t="shared" si="0"/>
        <v>0.34926743529032783</v>
      </c>
      <c r="H8" s="4" t="s">
        <v>2</v>
      </c>
      <c r="I8" s="4">
        <v>-0.96684073000000004</v>
      </c>
      <c r="J8" s="4">
        <v>9.8357271999999996E-2</v>
      </c>
      <c r="K8" s="4">
        <v>-9.8298856000000008</v>
      </c>
      <c r="L8" s="2">
        <v>3864.6080000000002</v>
      </c>
      <c r="M8" s="15">
        <v>1.535149E-22</v>
      </c>
      <c r="N8" s="12">
        <f t="shared" si="1"/>
        <v>0.38028255757843482</v>
      </c>
      <c r="O8" s="4" t="s">
        <v>2</v>
      </c>
      <c r="P8" s="4">
        <v>-0.98540329999999998</v>
      </c>
      <c r="Q8" s="4">
        <v>9.8977159999999995E-2</v>
      </c>
      <c r="R8" s="4">
        <v>-9.9558653499999998</v>
      </c>
      <c r="S8" s="12">
        <v>3839.61</v>
      </c>
      <c r="T8" s="15">
        <v>4.5158910000000002E-23</v>
      </c>
      <c r="U8" s="12">
        <f t="shared" si="2"/>
        <v>0.37328864926246635</v>
      </c>
      <c r="V8" s="12" t="s">
        <v>2</v>
      </c>
      <c r="W8" s="12">
        <v>-1.013755</v>
      </c>
      <c r="X8" s="4">
        <v>0.1008344</v>
      </c>
      <c r="Y8" s="15">
        <v>-10.05366205</v>
      </c>
      <c r="Z8" s="12">
        <v>3750.6190000000001</v>
      </c>
      <c r="AA8" s="15">
        <v>1.7510759999999999E-23</v>
      </c>
      <c r="AB8" s="12">
        <f t="shared" si="3"/>
        <v>0.36285390184064081</v>
      </c>
      <c r="AC8" s="4" t="s">
        <v>2</v>
      </c>
      <c r="AD8" s="4">
        <v>-1.0298939300000001</v>
      </c>
      <c r="AE8" s="4">
        <v>0.11216909999999999</v>
      </c>
      <c r="AF8" s="4">
        <v>-9.1816199300000001</v>
      </c>
      <c r="AG8" s="4">
        <v>3255.6709999999998</v>
      </c>
      <c r="AH8" s="18">
        <v>7.3544419999999998E-20</v>
      </c>
      <c r="AI8" s="12">
        <f t="shared" si="4"/>
        <v>0.35704483030584089</v>
      </c>
      <c r="AJ8" s="10"/>
      <c r="AK8" s="6" t="s">
        <v>2</v>
      </c>
      <c r="AL8" s="14">
        <v>-1.03</v>
      </c>
      <c r="AM8" s="4">
        <v>0.11219999999999999</v>
      </c>
      <c r="AN8" s="4">
        <v>-9.1820000000000004</v>
      </c>
      <c r="AO8" s="4">
        <v>0</v>
      </c>
      <c r="AP8" s="2">
        <f t="shared" si="5"/>
        <v>0.35700696056914738</v>
      </c>
      <c r="AR8" s="14"/>
      <c r="AS8" s="6" t="s">
        <v>2</v>
      </c>
      <c r="AT8" s="4">
        <v>-0.99738000000000004</v>
      </c>
      <c r="AU8" s="4">
        <v>0.23777999999999999</v>
      </c>
      <c r="AV8" s="4">
        <v>-4.1950000000000003</v>
      </c>
      <c r="AW8" s="4">
        <v>2.9899999999999998E-5</v>
      </c>
      <c r="AX8" s="2">
        <f t="shared" si="6"/>
        <v>0.36884454904655406</v>
      </c>
      <c r="AZ8" s="14"/>
      <c r="BA8" s="6" t="s">
        <v>2</v>
      </c>
      <c r="BB8" s="4">
        <v>-1.2390000000000001</v>
      </c>
      <c r="BC8" s="4">
        <v>0.2137</v>
      </c>
      <c r="BD8" s="4">
        <v>-5.7960000000000003</v>
      </c>
      <c r="BE8" s="4">
        <v>9.2599999999999999E-9</v>
      </c>
      <c r="BF8" s="2">
        <f t="shared" si="7"/>
        <v>0.28967374689734138</v>
      </c>
      <c r="BG8" s="2" t="s">
        <v>70</v>
      </c>
      <c r="BK8" s="6" t="s">
        <v>2</v>
      </c>
      <c r="BL8" s="4">
        <v>-1.2529999999999999</v>
      </c>
      <c r="BM8" s="4">
        <v>0.18909999999999999</v>
      </c>
      <c r="BN8" s="4">
        <v>-6.6239999999999997</v>
      </c>
      <c r="BO8" s="4">
        <v>5.4300000000000002E-11</v>
      </c>
      <c r="BP8" s="2">
        <f t="shared" si="8"/>
        <v>0.28564657045289021</v>
      </c>
      <c r="BQ8" s="4" t="s">
        <v>70</v>
      </c>
      <c r="BU8" s="6" t="s">
        <v>3</v>
      </c>
      <c r="BV8" s="14">
        <v>-2.8709999999999999E-2</v>
      </c>
      <c r="BW8" s="4">
        <v>8.6639999999999998E-3</v>
      </c>
      <c r="BX8" s="4">
        <v>-3.3140000000000001</v>
      </c>
      <c r="BY8" s="4">
        <v>9.5100000000000002E-4</v>
      </c>
      <c r="BZ8" s="2">
        <f t="shared" si="9"/>
        <v>0.97169821609331142</v>
      </c>
      <c r="CA8" s="4" t="s">
        <v>70</v>
      </c>
    </row>
    <row r="9" spans="1:79" ht="15" customHeight="1" x14ac:dyDescent="0.25">
      <c r="A9" s="4" t="s">
        <v>3</v>
      </c>
      <c r="B9" s="4">
        <v>-3.3379649999999997E-2</v>
      </c>
      <c r="C9" s="4">
        <v>3.0582909999999999E-3</v>
      </c>
      <c r="D9" s="4">
        <v>-10.9144772</v>
      </c>
      <c r="E9" s="2">
        <v>4928.4960000000001</v>
      </c>
      <c r="F9" s="15">
        <v>2.020062E-27</v>
      </c>
      <c r="G9" s="12">
        <f t="shared" si="0"/>
        <v>0.96717130329372147</v>
      </c>
      <c r="H9" s="4" t="s">
        <v>3</v>
      </c>
      <c r="I9" s="4">
        <v>-3.2983230000000002E-2</v>
      </c>
      <c r="J9" s="4">
        <v>3.9706159999999997E-3</v>
      </c>
      <c r="K9" s="4">
        <v>-8.3068305999999996</v>
      </c>
      <c r="L9" s="2">
        <v>3864.6080000000002</v>
      </c>
      <c r="M9" s="15">
        <v>1.3444219999999999E-16</v>
      </c>
      <c r="N9" s="12">
        <f>EXP(I9)</f>
        <v>0.9675547853467289</v>
      </c>
      <c r="O9" s="4" t="s">
        <v>3</v>
      </c>
      <c r="P9" s="4">
        <v>-3.3171819999999998E-2</v>
      </c>
      <c r="Q9" s="4">
        <v>3.9732320000000002E-3</v>
      </c>
      <c r="R9" s="4">
        <v>-8.3488264399999998</v>
      </c>
      <c r="S9" s="12">
        <v>3839.61</v>
      </c>
      <c r="T9" s="15">
        <v>9.5088019999999995E-17</v>
      </c>
      <c r="U9" s="12">
        <f t="shared" si="2"/>
        <v>0.9673723313947965</v>
      </c>
      <c r="V9" s="12" t="s">
        <v>3</v>
      </c>
      <c r="W9" s="12">
        <v>-3.3256679999999997E-2</v>
      </c>
      <c r="X9" s="4">
        <v>3.9248529999999998E-3</v>
      </c>
      <c r="Y9" s="15">
        <v>-8.4733566699999994</v>
      </c>
      <c r="Z9" s="12">
        <v>3750.6190000000001</v>
      </c>
      <c r="AA9" s="15">
        <v>3.3789700000000001E-17</v>
      </c>
      <c r="AB9" s="12">
        <f t="shared" si="3"/>
        <v>0.96729024366178618</v>
      </c>
      <c r="AC9" s="4" t="s">
        <v>3</v>
      </c>
      <c r="AD9" s="4">
        <v>-3.2453719999999998E-2</v>
      </c>
      <c r="AE9" s="4">
        <v>4.5018610000000002E-3</v>
      </c>
      <c r="AF9" s="4">
        <v>-7.2089558199999999</v>
      </c>
      <c r="AG9" s="4">
        <v>3255.6709999999998</v>
      </c>
      <c r="AH9" s="18">
        <v>6.9771190000000005E-13</v>
      </c>
      <c r="AI9" s="12">
        <f t="shared" si="4"/>
        <v>0.9680672509469741</v>
      </c>
      <c r="AJ9" s="10"/>
      <c r="AK9" s="6" t="s">
        <v>3</v>
      </c>
      <c r="AL9" s="14">
        <v>-3.245E-2</v>
      </c>
      <c r="AM9" s="4">
        <v>4.5019999999999999E-3</v>
      </c>
      <c r="AN9" s="4">
        <v>-7.2089999999999996</v>
      </c>
      <c r="AO9" s="4">
        <v>6.9799999999999995E-13</v>
      </c>
      <c r="AP9" s="2">
        <f t="shared" si="5"/>
        <v>0.96807085216384581</v>
      </c>
      <c r="AR9" s="14"/>
      <c r="AS9" s="6" t="s">
        <v>3</v>
      </c>
      <c r="AT9" s="4">
        <v>-3.458E-2</v>
      </c>
      <c r="AU9" s="4">
        <v>8.4799999999999997E-3</v>
      </c>
      <c r="AV9" s="4">
        <v>-4.077</v>
      </c>
      <c r="AW9" s="4">
        <v>4.9400000000000001E-5</v>
      </c>
      <c r="AX9" s="2">
        <f t="shared" si="6"/>
        <v>0.96601105571071688</v>
      </c>
      <c r="AZ9" s="14"/>
      <c r="BA9" s="6" t="s">
        <v>3</v>
      </c>
      <c r="BB9" s="4">
        <v>-3.9629999999999999E-2</v>
      </c>
      <c r="BC9" s="4">
        <v>9.0469999999999995E-3</v>
      </c>
      <c r="BD9" s="4">
        <v>-4.3810000000000002</v>
      </c>
      <c r="BE9" s="4">
        <v>1.31E-5</v>
      </c>
      <c r="BF9" s="2">
        <f t="shared" si="7"/>
        <v>0.96114499701895861</v>
      </c>
      <c r="BG9" s="2" t="s">
        <v>70</v>
      </c>
      <c r="BK9" s="6" t="s">
        <v>3</v>
      </c>
      <c r="BL9" s="4">
        <v>-3.8379999999999997E-2</v>
      </c>
      <c r="BM9" s="4">
        <v>7.9080000000000001E-3</v>
      </c>
      <c r="BN9" s="4">
        <v>-4.8540000000000001</v>
      </c>
      <c r="BO9" s="4">
        <v>1.3799999999999999E-6</v>
      </c>
      <c r="BP9" s="2">
        <f t="shared" si="8"/>
        <v>0.96234717947273174</v>
      </c>
      <c r="BQ9" s="4" t="s">
        <v>70</v>
      </c>
      <c r="BU9" s="6" t="s">
        <v>4</v>
      </c>
      <c r="BV9" s="14">
        <v>-6.6619999999999999E-2</v>
      </c>
      <c r="BW9" s="4">
        <v>7.7079999999999996E-2</v>
      </c>
      <c r="BX9" s="4">
        <v>-0.86399999999999999</v>
      </c>
      <c r="BY9" s="4">
        <v>0.38761899999999999</v>
      </c>
      <c r="BZ9" s="2">
        <f t="shared" si="9"/>
        <v>0.93555064304293156</v>
      </c>
    </row>
    <row r="10" spans="1:79" ht="15" customHeight="1" x14ac:dyDescent="0.25">
      <c r="A10" s="4" t="s">
        <v>4</v>
      </c>
      <c r="B10" s="4">
        <v>-3.094767E-2</v>
      </c>
      <c r="C10" s="4">
        <v>2.9337312000000001E-2</v>
      </c>
      <c r="D10" s="4">
        <v>-1.054891</v>
      </c>
      <c r="E10" s="2">
        <v>4928.4960000000001</v>
      </c>
      <c r="F10" s="15">
        <v>0.29152689999999998</v>
      </c>
      <c r="G10" s="12">
        <f t="shared" si="0"/>
        <v>0.96952630706020815</v>
      </c>
      <c r="H10" s="4" t="s">
        <v>4</v>
      </c>
      <c r="I10" s="4">
        <v>-3.2687969999999997E-2</v>
      </c>
      <c r="J10" s="4">
        <v>3.4688532000000001E-2</v>
      </c>
      <c r="K10" s="4">
        <v>-0.94232780000000005</v>
      </c>
      <c r="L10" s="2">
        <v>3864.6080000000002</v>
      </c>
      <c r="M10" s="15">
        <v>0.34608369999999999</v>
      </c>
      <c r="N10" s="12">
        <f t="shared" si="1"/>
        <v>0.96784050775177333</v>
      </c>
      <c r="O10" s="4" t="s">
        <v>4</v>
      </c>
      <c r="P10" s="4">
        <v>-2.810327E-2</v>
      </c>
      <c r="Q10" s="4">
        <v>3.4793869999999998E-2</v>
      </c>
      <c r="R10" s="4">
        <v>-0.80770739000000003</v>
      </c>
      <c r="S10" s="12">
        <v>3839.61</v>
      </c>
      <c r="T10" s="15">
        <v>0.41930909999999999</v>
      </c>
      <c r="U10" s="12">
        <f t="shared" si="2"/>
        <v>0.97228795343954055</v>
      </c>
      <c r="V10" s="12" t="s">
        <v>4</v>
      </c>
      <c r="W10" s="12">
        <v>8.9195690000000005E-3</v>
      </c>
      <c r="X10" s="4">
        <v>2.9014350000000001E-2</v>
      </c>
      <c r="Y10" s="15">
        <v>0.30741924999999998</v>
      </c>
      <c r="Z10" s="12">
        <v>3750.6190000000001</v>
      </c>
      <c r="AA10" s="15">
        <v>0.75854129999999997</v>
      </c>
      <c r="AB10" s="12">
        <f t="shared" si="3"/>
        <v>1.0089594668913457</v>
      </c>
      <c r="AC10" s="4" t="s">
        <v>4</v>
      </c>
      <c r="AD10" s="4">
        <v>-2.9989390000000001E-2</v>
      </c>
      <c r="AE10" s="4">
        <v>3.8837869999999997E-2</v>
      </c>
      <c r="AF10" s="4">
        <v>-0.77216879999999999</v>
      </c>
      <c r="AG10" s="4">
        <v>3255.6709999999998</v>
      </c>
      <c r="AH10" s="18">
        <v>0.44007049999999998</v>
      </c>
      <c r="AI10" s="12">
        <f t="shared" si="4"/>
        <v>0.97045583003024183</v>
      </c>
      <c r="AJ10" s="10"/>
      <c r="AK10" s="6" t="s">
        <v>4</v>
      </c>
      <c r="AL10" s="14">
        <v>-2.9989999999999999E-2</v>
      </c>
      <c r="AM10" s="4">
        <v>3.884E-2</v>
      </c>
      <c r="AN10" s="4">
        <v>-0.77200000000000002</v>
      </c>
      <c r="AO10" s="4">
        <v>0.44007000000000002</v>
      </c>
      <c r="AP10" s="2">
        <f t="shared" si="5"/>
        <v>0.97045523805236611</v>
      </c>
      <c r="AR10" s="14"/>
      <c r="AS10" s="6" t="s">
        <v>4</v>
      </c>
      <c r="AT10" s="4">
        <v>0.14038999999999999</v>
      </c>
      <c r="AU10" s="4">
        <v>7.4209999999999998E-2</v>
      </c>
      <c r="AV10" s="4">
        <v>1.8919999999999999</v>
      </c>
      <c r="AW10" s="4">
        <v>5.883E-2</v>
      </c>
      <c r="AX10" s="2">
        <f t="shared" si="6"/>
        <v>1.1507224931284772</v>
      </c>
      <c r="AZ10" s="14"/>
      <c r="BA10" s="6" t="s">
        <v>4</v>
      </c>
      <c r="BB10" s="4">
        <v>-8.4720000000000004E-2</v>
      </c>
      <c r="BC10" s="4">
        <v>7.8759999999999997E-2</v>
      </c>
      <c r="BD10" s="4">
        <v>-1.0760000000000001</v>
      </c>
      <c r="BE10" s="4">
        <v>0.2823</v>
      </c>
      <c r="BF10" s="2">
        <f t="shared" si="7"/>
        <v>0.91876950385013212</v>
      </c>
      <c r="BK10" s="6" t="s">
        <v>4</v>
      </c>
      <c r="BL10" s="4">
        <v>-9.4420000000000004E-2</v>
      </c>
      <c r="BM10" s="4">
        <v>7.2690000000000005E-2</v>
      </c>
      <c r="BN10" s="4">
        <v>-1.2989999999999999</v>
      </c>
      <c r="BO10" s="4">
        <v>0.19427</v>
      </c>
      <c r="BP10" s="2">
        <f t="shared" si="8"/>
        <v>0.90990052375632646</v>
      </c>
      <c r="BU10" s="6"/>
      <c r="BV10" s="14"/>
    </row>
    <row r="11" spans="1:79" ht="15" customHeight="1" x14ac:dyDescent="0.25">
      <c r="E11" s="2"/>
      <c r="F11" s="15"/>
      <c r="G11" s="12"/>
      <c r="L11" s="2"/>
      <c r="M11" s="15"/>
      <c r="N11" s="12"/>
      <c r="S11" s="12"/>
      <c r="T11" s="15"/>
      <c r="U11" s="12"/>
      <c r="V11" s="12"/>
      <c r="W11" s="12"/>
      <c r="Y11" s="15"/>
      <c r="Z11" s="12"/>
      <c r="AA11" s="15"/>
      <c r="AB11" s="12"/>
      <c r="AI11" s="12"/>
      <c r="AJ11" s="10"/>
      <c r="AK11" s="6"/>
      <c r="AL11" s="14"/>
      <c r="AR11" s="14"/>
      <c r="AS11" s="6"/>
      <c r="AZ11" s="14"/>
      <c r="BA11" s="6"/>
      <c r="BK11" s="6"/>
      <c r="BU11" s="6" t="s">
        <v>5</v>
      </c>
      <c r="BV11" s="14">
        <v>-5.6189999999999997E-2</v>
      </c>
      <c r="BW11" s="4">
        <v>0.27589999999999998</v>
      </c>
      <c r="BX11" s="4">
        <v>-0.20399999999999999</v>
      </c>
      <c r="BY11" s="4">
        <v>0.83863500000000002</v>
      </c>
      <c r="BZ11" s="2">
        <f t="shared" si="9"/>
        <v>0.94535950052047768</v>
      </c>
    </row>
    <row r="12" spans="1:79" ht="15" customHeight="1" x14ac:dyDescent="0.25">
      <c r="A12" s="4" t="s">
        <v>99</v>
      </c>
      <c r="B12" s="4">
        <v>0.15194546</v>
      </c>
      <c r="C12" s="4">
        <v>0.114198248</v>
      </c>
      <c r="D12" s="4">
        <v>1.3305411</v>
      </c>
      <c r="E12" s="2">
        <v>4928.4960000000001</v>
      </c>
      <c r="F12" s="15">
        <v>0.1834016</v>
      </c>
      <c r="G12" s="12">
        <f t="shared" si="0"/>
        <v>1.1640967448642481</v>
      </c>
      <c r="H12" s="4" t="s">
        <v>5</v>
      </c>
      <c r="I12" s="4">
        <v>0.26167916000000002</v>
      </c>
      <c r="J12" s="4">
        <v>0.14412290699999999</v>
      </c>
      <c r="K12" s="4">
        <v>1.8156667</v>
      </c>
      <c r="L12" s="2">
        <v>3864.6080000000002</v>
      </c>
      <c r="M12" s="15">
        <v>6.9498980000000002E-2</v>
      </c>
      <c r="N12" s="12">
        <f t="shared" si="1"/>
        <v>1.2991096692118864</v>
      </c>
      <c r="O12" s="4" t="s">
        <v>5</v>
      </c>
      <c r="P12" s="4">
        <v>0.28844784000000001</v>
      </c>
      <c r="Q12" s="4">
        <v>0.14580280000000001</v>
      </c>
      <c r="R12" s="4">
        <v>1.97834244</v>
      </c>
      <c r="S12" s="12">
        <v>3839.61</v>
      </c>
      <c r="T12" s="15">
        <v>4.7961450000000003E-2</v>
      </c>
      <c r="U12" s="12">
        <f t="shared" si="2"/>
        <v>1.3343547477640578</v>
      </c>
      <c r="V12" s="12" t="s">
        <v>5</v>
      </c>
      <c r="W12" s="12">
        <v>0.32184420000000002</v>
      </c>
      <c r="X12" s="4">
        <v>0.14993300000000001</v>
      </c>
      <c r="Y12" s="15">
        <v>2.1465869899999999</v>
      </c>
      <c r="Z12" s="12">
        <v>3750.6190000000001</v>
      </c>
      <c r="AA12" s="15">
        <v>3.1890130000000003E-2</v>
      </c>
      <c r="AB12" s="12">
        <f t="shared" si="3"/>
        <v>1.3796698066556958</v>
      </c>
      <c r="AC12" s="4" t="s">
        <v>5</v>
      </c>
      <c r="AD12" s="4">
        <v>0.30285110999999998</v>
      </c>
      <c r="AE12" s="4">
        <v>0.16121160000000001</v>
      </c>
      <c r="AF12" s="4">
        <v>1.8785932000000001</v>
      </c>
      <c r="AG12" s="4">
        <v>3255.6709999999998</v>
      </c>
      <c r="AH12" s="18">
        <v>6.038934E-2</v>
      </c>
      <c r="AI12" s="12">
        <f t="shared" si="4"/>
        <v>1.3537128951238777</v>
      </c>
      <c r="AJ12" s="10"/>
      <c r="AK12" s="6" t="s">
        <v>5</v>
      </c>
      <c r="AL12" s="14">
        <v>0.3029</v>
      </c>
      <c r="AM12" s="4">
        <v>0.16120000000000001</v>
      </c>
      <c r="AN12" s="4">
        <v>1.879</v>
      </c>
      <c r="AO12" s="4">
        <v>6.0388999999999998E-2</v>
      </c>
      <c r="AP12" s="2">
        <f t="shared" si="5"/>
        <v>1.3537790797651907</v>
      </c>
      <c r="AR12" s="14"/>
      <c r="AS12" s="6" t="s">
        <v>5</v>
      </c>
      <c r="AT12" s="4">
        <v>0.56706000000000001</v>
      </c>
      <c r="AU12" s="4">
        <v>0.34775</v>
      </c>
      <c r="AV12" s="4">
        <v>1.631</v>
      </c>
      <c r="AW12" s="4">
        <v>0.10329000000000001</v>
      </c>
      <c r="AX12" s="2">
        <f t="shared" si="6"/>
        <v>1.7630759809153096</v>
      </c>
      <c r="AZ12" s="14"/>
      <c r="BA12" s="6" t="s">
        <v>5</v>
      </c>
      <c r="BB12" s="4">
        <v>9.0279999999999999E-2</v>
      </c>
      <c r="BC12" s="4">
        <v>0.29730000000000001</v>
      </c>
      <c r="BD12" s="4">
        <v>0.30399999999999999</v>
      </c>
      <c r="BE12" s="4">
        <v>0.76149999999999995</v>
      </c>
      <c r="BF12" s="2">
        <f t="shared" si="7"/>
        <v>1.0944806954002833</v>
      </c>
      <c r="BK12" s="6" t="s">
        <v>5</v>
      </c>
      <c r="BL12" s="4">
        <v>0.4919</v>
      </c>
      <c r="BM12" s="4">
        <v>0.2964</v>
      </c>
      <c r="BN12" s="4">
        <v>1.66</v>
      </c>
      <c r="BO12" s="4">
        <v>9.7220000000000001E-2</v>
      </c>
      <c r="BP12" s="2">
        <f t="shared" si="8"/>
        <v>1.6354205689709673</v>
      </c>
      <c r="BQ12" s="4" t="s">
        <v>71</v>
      </c>
      <c r="BU12" s="6" t="s">
        <v>9</v>
      </c>
      <c r="BV12" s="14">
        <v>-9.3799999999999994E-2</v>
      </c>
      <c r="BW12" s="4">
        <v>0.26350000000000001</v>
      </c>
      <c r="BX12" s="4">
        <v>-0.35599999999999998</v>
      </c>
      <c r="BY12" s="4">
        <v>0.72192199999999995</v>
      </c>
      <c r="BZ12" s="2">
        <f t="shared" si="9"/>
        <v>0.91046483700008407</v>
      </c>
    </row>
    <row r="13" spans="1:79" ht="15" customHeight="1" x14ac:dyDescent="0.25">
      <c r="A13" s="4" t="s">
        <v>9</v>
      </c>
      <c r="B13" s="4">
        <v>-0.10306495</v>
      </c>
      <c r="C13" s="4">
        <v>9.3063172E-2</v>
      </c>
      <c r="D13" s="4">
        <v>-1.1074729999999999</v>
      </c>
      <c r="E13" s="2">
        <v>4928.4960000000001</v>
      </c>
      <c r="F13" s="15">
        <v>0.26814349999999998</v>
      </c>
      <c r="G13" s="12">
        <f t="shared" si="0"/>
        <v>0.90206838223736008</v>
      </c>
      <c r="H13" s="4" t="s">
        <v>9</v>
      </c>
      <c r="I13" s="4">
        <v>-3.1970499999999999E-2</v>
      </c>
      <c r="J13" s="4">
        <v>0.107042</v>
      </c>
      <c r="K13" s="4">
        <v>-0.29867250000000001</v>
      </c>
      <c r="L13" s="2">
        <v>3864.6080000000002</v>
      </c>
      <c r="M13" s="15">
        <v>0.76520600000000005</v>
      </c>
      <c r="N13" s="12">
        <f t="shared" si="1"/>
        <v>0.96853515344479446</v>
      </c>
      <c r="O13" s="4" t="s">
        <v>9</v>
      </c>
      <c r="P13" s="4">
        <v>-2.5564489999999999E-2</v>
      </c>
      <c r="Q13" s="4">
        <v>0.1074518</v>
      </c>
      <c r="R13" s="4">
        <v>-0.23791597</v>
      </c>
      <c r="S13" s="12">
        <v>3839.61</v>
      </c>
      <c r="T13" s="15">
        <v>0.81195899999999999</v>
      </c>
      <c r="U13" s="12">
        <f t="shared" si="2"/>
        <v>0.97475951469760169</v>
      </c>
      <c r="V13" s="12" t="s">
        <v>9</v>
      </c>
      <c r="W13" s="12">
        <v>-7.8739260000000005E-2</v>
      </c>
      <c r="X13" s="4">
        <v>0.1053683</v>
      </c>
      <c r="Y13" s="15">
        <v>-0.74727655000000004</v>
      </c>
      <c r="Z13" s="12">
        <v>3750.6190000000001</v>
      </c>
      <c r="AA13" s="15">
        <v>0.4549435</v>
      </c>
      <c r="AB13" s="12">
        <f t="shared" si="3"/>
        <v>0.92428089002830449</v>
      </c>
      <c r="AC13" s="4" t="s">
        <v>9</v>
      </c>
      <c r="AD13" s="4">
        <v>-8.7459919999999997E-2</v>
      </c>
      <c r="AE13" s="4">
        <v>0.12104090000000001</v>
      </c>
      <c r="AF13" s="4">
        <v>-0.72256472000000005</v>
      </c>
      <c r="AG13" s="4">
        <v>3255.6709999999998</v>
      </c>
      <c r="AH13" s="18">
        <v>0.46999930000000001</v>
      </c>
      <c r="AI13" s="12">
        <f t="shared" si="4"/>
        <v>0.91625559443917315</v>
      </c>
      <c r="AJ13" s="10"/>
      <c r="AK13" s="6" t="s">
        <v>9</v>
      </c>
      <c r="AL13" s="14">
        <v>-8.7459999999999996E-2</v>
      </c>
      <c r="AM13" s="4">
        <v>0.121</v>
      </c>
      <c r="AN13" s="4">
        <v>-0.72299999999999998</v>
      </c>
      <c r="AO13" s="4">
        <v>0.469999</v>
      </c>
      <c r="AP13" s="2">
        <f t="shared" si="5"/>
        <v>0.91625552113872855</v>
      </c>
      <c r="AR13" s="14"/>
      <c r="AS13" s="6" t="s">
        <v>9</v>
      </c>
      <c r="AT13" s="4">
        <v>2.3869999999999999E-2</v>
      </c>
      <c r="AU13" s="4">
        <v>0.23533999999999999</v>
      </c>
      <c r="AV13" s="4">
        <v>0.10100000000000001</v>
      </c>
      <c r="AW13" s="4">
        <v>0.91922000000000004</v>
      </c>
      <c r="AX13" s="2">
        <f t="shared" si="6"/>
        <v>1.024157168804174</v>
      </c>
      <c r="AZ13" s="14"/>
      <c r="BA13" s="6" t="s">
        <v>9</v>
      </c>
      <c r="BB13" s="4">
        <v>-8.3750000000000005E-2</v>
      </c>
      <c r="BC13" s="4">
        <v>0.23280000000000001</v>
      </c>
      <c r="BD13" s="4">
        <v>-0.36</v>
      </c>
      <c r="BE13" s="4">
        <v>0.71909999999999996</v>
      </c>
      <c r="BF13" s="2">
        <f t="shared" si="7"/>
        <v>0.91966114264376975</v>
      </c>
      <c r="BK13" s="6" t="s">
        <v>9</v>
      </c>
      <c r="BL13" s="4">
        <v>-0.23710000000000001</v>
      </c>
      <c r="BM13" s="4">
        <v>0.2359</v>
      </c>
      <c r="BN13" s="4">
        <v>-1.0049999999999999</v>
      </c>
      <c r="BO13" s="4">
        <v>0.31508999999999998</v>
      </c>
      <c r="BP13" s="2">
        <f t="shared" si="8"/>
        <v>0.7889123928336329</v>
      </c>
      <c r="BU13" s="6" t="s">
        <v>6</v>
      </c>
      <c r="BV13" s="14">
        <v>-0.42930000000000001</v>
      </c>
      <c r="BW13" s="4">
        <v>0.40210000000000001</v>
      </c>
      <c r="BX13" s="4">
        <v>-1.0669999999999999</v>
      </c>
      <c r="BY13" s="4">
        <v>0.28599999999999998</v>
      </c>
      <c r="BZ13" s="2">
        <f t="shared" si="9"/>
        <v>0.65096461050154497</v>
      </c>
    </row>
    <row r="14" spans="1:79" ht="15" customHeight="1" x14ac:dyDescent="0.25">
      <c r="A14" s="4" t="s">
        <v>6</v>
      </c>
      <c r="B14" s="4">
        <v>-0.34379240999999999</v>
      </c>
      <c r="C14" s="4">
        <v>0.242933714</v>
      </c>
      <c r="D14" s="4">
        <v>-1.4151696</v>
      </c>
      <c r="E14" s="2">
        <v>4928.4960000000001</v>
      </c>
      <c r="F14" s="15">
        <v>0.1570819</v>
      </c>
      <c r="G14" s="12">
        <f t="shared" si="0"/>
        <v>0.70907610988189429</v>
      </c>
      <c r="H14" s="4" t="s">
        <v>6</v>
      </c>
      <c r="I14" s="4">
        <v>-0.25275642999999998</v>
      </c>
      <c r="J14" s="4">
        <v>0.28005730600000001</v>
      </c>
      <c r="K14" s="4">
        <v>-0.90251680000000001</v>
      </c>
      <c r="L14" s="2">
        <v>3864.6080000000002</v>
      </c>
      <c r="M14" s="15">
        <v>0.36683860000000001</v>
      </c>
      <c r="N14" s="12">
        <f t="shared" si="1"/>
        <v>0.7766570291400845</v>
      </c>
      <c r="O14" s="4" t="s">
        <v>6</v>
      </c>
      <c r="P14" s="4">
        <v>-0.29136687</v>
      </c>
      <c r="Q14" s="4">
        <v>0.27242769999999999</v>
      </c>
      <c r="R14" s="4">
        <v>-1.0695199900000001</v>
      </c>
      <c r="S14" s="12">
        <v>3839.61</v>
      </c>
      <c r="T14" s="15">
        <v>0.28490270000000001</v>
      </c>
      <c r="U14" s="12">
        <f t="shared" si="2"/>
        <v>0.74724148724055717</v>
      </c>
      <c r="V14" s="12" t="s">
        <v>6</v>
      </c>
      <c r="W14" s="12">
        <v>-0.34027279999999999</v>
      </c>
      <c r="X14" s="4">
        <v>0.28070929999999999</v>
      </c>
      <c r="Y14" s="15">
        <v>-1.21218917</v>
      </c>
      <c r="Z14" s="12">
        <v>3750.6190000000001</v>
      </c>
      <c r="AA14" s="15">
        <v>0.2255163</v>
      </c>
      <c r="AB14" s="12">
        <f t="shared" si="3"/>
        <v>0.71157617830106867</v>
      </c>
      <c r="AC14" s="4" t="s">
        <v>6</v>
      </c>
      <c r="AD14" s="4">
        <v>-0.38748249000000001</v>
      </c>
      <c r="AE14" s="4">
        <v>0.30770029999999998</v>
      </c>
      <c r="AF14" s="4">
        <v>-1.25928544</v>
      </c>
      <c r="AG14" s="4">
        <v>3255.6709999999998</v>
      </c>
      <c r="AH14" s="18">
        <v>0.20801749999999999</v>
      </c>
      <c r="AI14" s="12">
        <f t="shared" si="4"/>
        <v>0.67876351929658341</v>
      </c>
      <c r="AJ14" s="10"/>
      <c r="AK14" s="6" t="s">
        <v>6</v>
      </c>
      <c r="AL14" s="14">
        <v>-0.38750000000000001</v>
      </c>
      <c r="AM14" s="4">
        <v>0.30769999999999997</v>
      </c>
      <c r="AN14" s="4">
        <v>-1.2589999999999999</v>
      </c>
      <c r="AO14" s="4">
        <v>0.20801700000000001</v>
      </c>
      <c r="AP14" s="2">
        <f t="shared" si="5"/>
        <v>0.67875163425141438</v>
      </c>
      <c r="AR14" s="14"/>
      <c r="AS14" s="6" t="s">
        <v>6</v>
      </c>
      <c r="AT14" s="4">
        <v>0.31114999999999998</v>
      </c>
      <c r="AU14" s="4">
        <v>0.96992</v>
      </c>
      <c r="AV14" s="4">
        <v>0.32100000000000001</v>
      </c>
      <c r="AW14" s="4">
        <v>0.74843000000000004</v>
      </c>
      <c r="AX14" s="2">
        <f t="shared" si="6"/>
        <v>1.3649939549239858</v>
      </c>
      <c r="AZ14" s="14"/>
      <c r="BA14" s="6" t="s">
        <v>6</v>
      </c>
      <c r="BB14" s="4">
        <v>1.4550000000000001</v>
      </c>
      <c r="BC14" s="4">
        <v>1.266</v>
      </c>
      <c r="BD14" s="4">
        <v>1.149</v>
      </c>
      <c r="BE14" s="4">
        <v>0.25080000000000002</v>
      </c>
      <c r="BF14" s="2">
        <f t="shared" si="7"/>
        <v>4.2844834656021167</v>
      </c>
      <c r="BK14" s="6" t="s">
        <v>6</v>
      </c>
      <c r="BL14" s="4">
        <v>-0.87629999999999997</v>
      </c>
      <c r="BM14" s="4">
        <v>0.60929999999999995</v>
      </c>
      <c r="BN14" s="4">
        <v>-1.4379999999999999</v>
      </c>
      <c r="BO14" s="4">
        <v>0.15065999999999999</v>
      </c>
      <c r="BP14" s="2">
        <f t="shared" si="8"/>
        <v>0.41632045114874161</v>
      </c>
      <c r="BU14" s="6" t="s">
        <v>7</v>
      </c>
      <c r="BV14" s="14">
        <v>-0.32179999999999997</v>
      </c>
      <c r="BW14" s="4">
        <v>0.12559999999999999</v>
      </c>
      <c r="BX14" s="4">
        <v>-2.5619999999999998</v>
      </c>
      <c r="BY14" s="4">
        <v>1.0540000000000001E-2</v>
      </c>
      <c r="BZ14" s="2">
        <f t="shared" si="9"/>
        <v>0.72484314446289899</v>
      </c>
    </row>
    <row r="15" spans="1:79" ht="15" customHeight="1" x14ac:dyDescent="0.25">
      <c r="A15" s="4" t="s">
        <v>7</v>
      </c>
      <c r="B15" s="4">
        <v>-0.31809047000000001</v>
      </c>
      <c r="C15" s="4">
        <v>5.0510333999999997E-2</v>
      </c>
      <c r="D15" s="4">
        <v>-6.2975325</v>
      </c>
      <c r="E15" s="2">
        <v>4928.4960000000001</v>
      </c>
      <c r="F15" s="15">
        <v>3.2869890000000002E-10</v>
      </c>
      <c r="G15" s="12">
        <f t="shared" si="0"/>
        <v>0.72753696516788702</v>
      </c>
      <c r="H15" s="4" t="s">
        <v>7</v>
      </c>
      <c r="I15" s="4">
        <v>-0.29046749999999999</v>
      </c>
      <c r="J15" s="4">
        <v>5.9388290000000003E-2</v>
      </c>
      <c r="K15" s="4">
        <v>-4.8909894999999999</v>
      </c>
      <c r="L15" s="2">
        <v>3864.6080000000002</v>
      </c>
      <c r="M15" s="15">
        <v>1.0441479999999999E-6</v>
      </c>
      <c r="N15" s="12">
        <f t="shared" si="1"/>
        <v>0.74791383611682105</v>
      </c>
      <c r="O15" s="4" t="s">
        <v>7</v>
      </c>
      <c r="P15" s="4">
        <v>-0.28113220999999999</v>
      </c>
      <c r="Q15" s="4">
        <v>5.8974029999999997E-2</v>
      </c>
      <c r="R15" s="4">
        <v>-4.7670510999999998</v>
      </c>
      <c r="S15" s="12">
        <v>3839.61</v>
      </c>
      <c r="T15" s="15">
        <v>1.9387090000000002E-6</v>
      </c>
      <c r="U15" s="12">
        <f t="shared" si="2"/>
        <v>0.75492851978243625</v>
      </c>
      <c r="V15" s="12" t="s">
        <v>7</v>
      </c>
      <c r="W15" s="12">
        <v>-0.2678662</v>
      </c>
      <c r="X15" s="4">
        <v>5.9212559999999997E-2</v>
      </c>
      <c r="Y15" s="15">
        <v>-4.5238069899999998</v>
      </c>
      <c r="Z15" s="12">
        <v>3750.6190000000001</v>
      </c>
      <c r="AA15" s="15">
        <v>6.2617389999999997E-6</v>
      </c>
      <c r="AB15" s="12">
        <f>EXP(W15)</f>
        <v>0.76501013261113882</v>
      </c>
      <c r="AC15" s="4" t="s">
        <v>7</v>
      </c>
      <c r="AD15" s="4">
        <v>-0.23043949999999999</v>
      </c>
      <c r="AE15" s="4">
        <v>6.3225840000000005E-2</v>
      </c>
      <c r="AF15" s="4">
        <v>-3.6447046099999998</v>
      </c>
      <c r="AG15" s="4">
        <v>3255.6709999999998</v>
      </c>
      <c r="AH15" s="18">
        <v>2.718814E-4</v>
      </c>
      <c r="AI15" s="12">
        <f t="shared" si="4"/>
        <v>0.79418448170994782</v>
      </c>
      <c r="AJ15" s="10"/>
      <c r="AK15" s="6" t="s">
        <v>7</v>
      </c>
      <c r="AL15" s="14">
        <v>-0.23039999999999999</v>
      </c>
      <c r="AM15" s="4">
        <v>6.3229999999999995E-2</v>
      </c>
      <c r="AN15" s="4">
        <v>-3.645</v>
      </c>
      <c r="AO15" s="4">
        <v>2.72E-4</v>
      </c>
      <c r="AP15" s="2">
        <f t="shared" si="5"/>
        <v>0.7942158526165467</v>
      </c>
      <c r="AR15" s="14"/>
      <c r="AS15" s="6" t="s">
        <v>7</v>
      </c>
      <c r="AT15" s="4">
        <v>-0.22894999999999999</v>
      </c>
      <c r="AU15" s="4">
        <v>0.12138</v>
      </c>
      <c r="AV15" s="4">
        <v>-1.8859999999999999</v>
      </c>
      <c r="AW15" s="4">
        <v>5.9569999999999998E-2</v>
      </c>
      <c r="AX15" s="2">
        <f t="shared" si="6"/>
        <v>0.79536830092594646</v>
      </c>
      <c r="AZ15" s="14"/>
      <c r="BA15" s="6" t="s">
        <v>7</v>
      </c>
      <c r="BB15" s="4">
        <v>-0.30099999999999999</v>
      </c>
      <c r="BC15" s="4">
        <v>0.12770000000000001</v>
      </c>
      <c r="BD15" s="4">
        <v>-2.3559999999999999</v>
      </c>
      <c r="BE15" s="4">
        <v>1.8700000000000001E-2</v>
      </c>
      <c r="BF15" s="2">
        <f t="shared" si="7"/>
        <v>0.74007777274670761</v>
      </c>
      <c r="BG15" s="2" t="s">
        <v>72</v>
      </c>
      <c r="BK15" s="6" t="s">
        <v>7</v>
      </c>
      <c r="BL15" s="4">
        <v>-0.1303</v>
      </c>
      <c r="BM15" s="4">
        <v>0.1104</v>
      </c>
      <c r="BN15" s="4">
        <v>-1.18</v>
      </c>
      <c r="BO15" s="4">
        <v>0.23813000000000001</v>
      </c>
      <c r="BP15" s="2">
        <f t="shared" si="8"/>
        <v>0.87783204180162844</v>
      </c>
      <c r="BU15" s="6"/>
      <c r="BV15" s="14"/>
      <c r="CA15" s="4" t="s">
        <v>72</v>
      </c>
    </row>
    <row r="16" spans="1:79" ht="15" customHeight="1" x14ac:dyDescent="0.25">
      <c r="A16" s="4" t="s">
        <v>98</v>
      </c>
      <c r="B16" s="4">
        <v>-1.292214E-2</v>
      </c>
      <c r="C16" s="4">
        <v>4.0298329000000001E-2</v>
      </c>
      <c r="D16" s="4">
        <v>-0.3206619</v>
      </c>
      <c r="E16" s="2">
        <v>4928.4960000000001</v>
      </c>
      <c r="F16" s="15">
        <v>0.74848020000000004</v>
      </c>
      <c r="G16" s="12">
        <f t="shared" si="0"/>
        <v>0.98716099238305854</v>
      </c>
      <c r="H16" s="4" t="s">
        <v>98</v>
      </c>
      <c r="I16" s="4">
        <v>6.0178799999999998E-2</v>
      </c>
      <c r="J16" s="4">
        <v>4.7762961E-2</v>
      </c>
      <c r="K16" s="4">
        <v>1.2599471</v>
      </c>
      <c r="L16" s="2">
        <v>3864.6080000000002</v>
      </c>
      <c r="M16" s="15">
        <v>0.20776449999999999</v>
      </c>
      <c r="N16" s="12">
        <f t="shared" si="1"/>
        <v>1.0620264198940534</v>
      </c>
      <c r="O16" s="4" t="s">
        <v>98</v>
      </c>
      <c r="P16" s="4">
        <v>5.7619030000000002E-2</v>
      </c>
      <c r="Q16" s="4">
        <v>4.7773860000000001E-2</v>
      </c>
      <c r="R16" s="4">
        <v>1.20607843</v>
      </c>
      <c r="S16" s="12">
        <v>3839.61</v>
      </c>
      <c r="T16" s="15">
        <v>0.2278616</v>
      </c>
      <c r="U16" s="12">
        <f t="shared" si="2"/>
        <v>1.0593113529811391</v>
      </c>
      <c r="V16" s="12" t="s">
        <v>87</v>
      </c>
      <c r="W16" s="12">
        <v>1.3706560000000001</v>
      </c>
      <c r="X16" s="4">
        <v>0.2071334</v>
      </c>
      <c r="Y16" s="15">
        <v>6.6172625299999996</v>
      </c>
      <c r="Z16" s="12">
        <v>3750.6190000000001</v>
      </c>
      <c r="AA16" s="15">
        <v>4.1778130000000003E-11</v>
      </c>
      <c r="AB16" s="12">
        <f t="shared" si="3"/>
        <v>3.9379331324734292</v>
      </c>
      <c r="AI16" s="12"/>
      <c r="AJ16" s="10"/>
      <c r="AK16" s="6"/>
      <c r="AL16" s="14"/>
      <c r="AR16" s="14"/>
      <c r="AS16" s="6"/>
      <c r="AZ16" s="14"/>
      <c r="BA16" s="6"/>
      <c r="BK16" s="6"/>
      <c r="BU16" s="6" t="s">
        <v>87</v>
      </c>
      <c r="BV16" s="14">
        <v>1.05</v>
      </c>
      <c r="BW16" s="4">
        <v>0.40839999999999999</v>
      </c>
      <c r="BX16" s="4">
        <v>2.5720000000000001</v>
      </c>
      <c r="BY16" s="4">
        <v>1.0248E-2</v>
      </c>
      <c r="BZ16" s="2">
        <f t="shared" si="9"/>
        <v>2.8576511180631639</v>
      </c>
      <c r="CA16" s="4" t="s">
        <v>72</v>
      </c>
    </row>
    <row r="17" spans="5:79" ht="15" customHeight="1" x14ac:dyDescent="0.25">
      <c r="E17" s="2"/>
      <c r="F17" s="15"/>
      <c r="G17" s="12"/>
      <c r="L17" s="2"/>
      <c r="M17" s="15"/>
      <c r="N17" s="12"/>
      <c r="S17" s="12"/>
      <c r="T17" s="15"/>
      <c r="U17" s="12"/>
      <c r="V17" s="12"/>
      <c r="W17" s="12"/>
      <c r="Y17" s="15"/>
      <c r="Z17" s="12"/>
      <c r="AA17" s="15"/>
      <c r="AB17" s="12"/>
      <c r="AC17" s="4" t="s">
        <v>87</v>
      </c>
      <c r="AD17" s="4">
        <v>1.6001143499999999</v>
      </c>
      <c r="AE17" s="4">
        <v>0.2279805</v>
      </c>
      <c r="AF17" s="4">
        <v>7.0186441500000001</v>
      </c>
      <c r="AG17" s="4">
        <v>3255.6709999999998</v>
      </c>
      <c r="AH17" s="18">
        <v>2.7143259999999999E-12</v>
      </c>
      <c r="AI17" s="12">
        <f t="shared" si="4"/>
        <v>4.9535988360368126</v>
      </c>
      <c r="AJ17" s="10"/>
      <c r="AK17" s="6" t="s">
        <v>87</v>
      </c>
      <c r="AL17" s="14">
        <v>1.6</v>
      </c>
      <c r="AM17" s="4">
        <v>0.22800000000000001</v>
      </c>
      <c r="AN17" s="4">
        <v>7.0190000000000001</v>
      </c>
      <c r="AO17" s="4">
        <v>2.71E-12</v>
      </c>
      <c r="AP17" s="2">
        <f t="shared" si="5"/>
        <v>4.9530324243951149</v>
      </c>
      <c r="AR17" s="14"/>
      <c r="AS17" s="6" t="s">
        <v>87</v>
      </c>
      <c r="AT17" s="4">
        <v>2.4155500000000001</v>
      </c>
      <c r="AU17" s="4">
        <v>0.37866</v>
      </c>
      <c r="AV17" s="4">
        <v>6.3789999999999996</v>
      </c>
      <c r="AW17" s="4">
        <v>2.7900000000000002E-10</v>
      </c>
      <c r="AX17" s="2">
        <f t="shared" si="6"/>
        <v>11.195926424012452</v>
      </c>
      <c r="AZ17" s="14"/>
      <c r="BA17" s="6" t="s">
        <v>87</v>
      </c>
      <c r="BB17" s="4">
        <v>1.79</v>
      </c>
      <c r="BC17" s="4">
        <v>0.45519999999999999</v>
      </c>
      <c r="BD17" s="4">
        <v>3.9319999999999999</v>
      </c>
      <c r="BE17" s="4">
        <v>9.0500000000000004E-5</v>
      </c>
      <c r="BF17" s="2">
        <f t="shared" si="7"/>
        <v>5.9894524663831135</v>
      </c>
      <c r="BG17" s="2" t="s">
        <v>70</v>
      </c>
      <c r="BK17" s="6"/>
      <c r="BQ17" s="4" t="s">
        <v>72</v>
      </c>
      <c r="BU17" s="6" t="s">
        <v>88</v>
      </c>
      <c r="BV17" s="14">
        <v>0.76</v>
      </c>
      <c r="BW17" s="4">
        <v>0.3211</v>
      </c>
      <c r="BX17" s="4">
        <v>2.367</v>
      </c>
      <c r="BY17" s="4">
        <v>1.8114000000000002E-2</v>
      </c>
      <c r="BZ17" s="2">
        <f t="shared" si="9"/>
        <v>2.1382762204968184</v>
      </c>
    </row>
    <row r="18" spans="5:79" ht="15" customHeight="1" x14ac:dyDescent="0.25">
      <c r="E18" s="2"/>
      <c r="F18" s="15"/>
      <c r="G18" s="12"/>
      <c r="H18" s="4" t="s">
        <v>87</v>
      </c>
      <c r="I18" s="4">
        <v>1.38711842</v>
      </c>
      <c r="J18" s="4">
        <v>0.19040821599999999</v>
      </c>
      <c r="K18" s="4">
        <v>7.2849715000000002</v>
      </c>
      <c r="L18" s="2">
        <v>3864.6080000000002</v>
      </c>
      <c r="M18" s="15">
        <v>3.8801740000000001E-13</v>
      </c>
      <c r="N18" s="12">
        <f t="shared" si="1"/>
        <v>4.0032975940396538</v>
      </c>
      <c r="O18" s="4" t="s">
        <v>87</v>
      </c>
      <c r="P18" s="4">
        <v>1.25437439</v>
      </c>
      <c r="Q18" s="4">
        <v>0.1978019</v>
      </c>
      <c r="R18" s="4">
        <v>6.3415677300000004</v>
      </c>
      <c r="S18" s="12">
        <v>3839.61</v>
      </c>
      <c r="T18" s="15">
        <v>2.5381599999999997E-10</v>
      </c>
      <c r="U18" s="12">
        <f t="shared" si="2"/>
        <v>3.505644521896778</v>
      </c>
      <c r="V18" s="12" t="s">
        <v>88</v>
      </c>
      <c r="W18" s="12">
        <v>0.70428230000000003</v>
      </c>
      <c r="X18" s="4">
        <v>0.1454163</v>
      </c>
      <c r="Y18" s="15">
        <v>4.8432149999999998</v>
      </c>
      <c r="Z18" s="12">
        <v>3750.6190000000001</v>
      </c>
      <c r="AA18" s="15">
        <v>1.329143E-6</v>
      </c>
      <c r="AB18" s="12">
        <f t="shared" si="3"/>
        <v>2.022394691266828</v>
      </c>
      <c r="AC18" s="4" t="s">
        <v>88</v>
      </c>
      <c r="AD18" s="4">
        <v>0.83107977</v>
      </c>
      <c r="AE18" s="4">
        <v>0.15385389999999999</v>
      </c>
      <c r="AF18" s="4">
        <v>5.4017481600000004</v>
      </c>
      <c r="AG18" s="4">
        <v>3255.6709999999998</v>
      </c>
      <c r="AH18" s="18">
        <v>7.0736679999999997E-8</v>
      </c>
      <c r="AI18" s="12">
        <f t="shared" si="4"/>
        <v>2.2957963344155567</v>
      </c>
      <c r="AJ18" s="10"/>
      <c r="AK18" s="6" t="s">
        <v>88</v>
      </c>
      <c r="AL18" s="14">
        <v>0.83109999999999995</v>
      </c>
      <c r="AM18" s="4">
        <v>0.15390000000000001</v>
      </c>
      <c r="AN18" s="4">
        <v>5.4020000000000001</v>
      </c>
      <c r="AO18" s="4">
        <v>7.0700000000000004E-8</v>
      </c>
      <c r="AP18" s="2">
        <f t="shared" si="5"/>
        <v>2.2958427788451856</v>
      </c>
      <c r="AR18" s="14"/>
      <c r="AS18" s="6" t="s">
        <v>88</v>
      </c>
      <c r="AT18" s="4">
        <v>1.1313500000000001</v>
      </c>
      <c r="AU18" s="4">
        <v>0.28147</v>
      </c>
      <c r="AV18" s="4">
        <v>4.0190000000000001</v>
      </c>
      <c r="AW18" s="4">
        <v>6.3E-5</v>
      </c>
      <c r="AX18" s="2">
        <f t="shared" si="6"/>
        <v>3.0998384585867069</v>
      </c>
      <c r="AZ18" s="14"/>
      <c r="BA18" s="6" t="s">
        <v>88</v>
      </c>
      <c r="BB18" s="4">
        <v>1.3959999999999999</v>
      </c>
      <c r="BC18" s="4">
        <v>0.32729999999999998</v>
      </c>
      <c r="BD18" s="4">
        <v>4.2649999999999997</v>
      </c>
      <c r="BE18" s="4">
        <v>2.1999999999999999E-5</v>
      </c>
      <c r="BF18" s="2">
        <f t="shared" si="7"/>
        <v>4.0390115653647847</v>
      </c>
      <c r="BG18" s="2" t="s">
        <v>70</v>
      </c>
      <c r="BK18" s="6" t="s">
        <v>88</v>
      </c>
      <c r="BL18" s="4">
        <v>0.62439999999999996</v>
      </c>
      <c r="BM18" s="4">
        <v>0.2903</v>
      </c>
      <c r="BN18" s="4">
        <v>2.1509999999999998</v>
      </c>
      <c r="BO18" s="4">
        <v>3.168E-2</v>
      </c>
      <c r="BP18" s="2">
        <f t="shared" si="8"/>
        <v>1.8671253460747885</v>
      </c>
      <c r="BQ18" s="4" t="s">
        <v>72</v>
      </c>
      <c r="BU18" s="6" t="s">
        <v>89</v>
      </c>
      <c r="BV18" s="14">
        <v>0.39600000000000002</v>
      </c>
      <c r="BW18" s="4">
        <v>0.32579999999999998</v>
      </c>
      <c r="BX18" s="4">
        <v>1.216</v>
      </c>
      <c r="BY18" s="4">
        <v>0.22442500000000001</v>
      </c>
      <c r="BZ18" s="2">
        <f t="shared" si="9"/>
        <v>1.4858693175513897</v>
      </c>
      <c r="CA18" s="4" t="s">
        <v>72</v>
      </c>
    </row>
    <row r="19" spans="5:79" ht="15" customHeight="1" x14ac:dyDescent="0.25">
      <c r="E19" s="2"/>
      <c r="F19" s="15"/>
      <c r="G19" s="12"/>
      <c r="H19" s="4" t="s">
        <v>88</v>
      </c>
      <c r="I19" s="4">
        <v>0.66151715</v>
      </c>
      <c r="J19" s="4">
        <v>0.132518054</v>
      </c>
      <c r="K19" s="4">
        <v>4.9919020999999999</v>
      </c>
      <c r="L19" s="2">
        <v>3864.6080000000002</v>
      </c>
      <c r="M19" s="15">
        <v>6.242465E-7</v>
      </c>
      <c r="N19" s="12">
        <f t="shared" si="1"/>
        <v>1.9377299324171173</v>
      </c>
      <c r="O19" s="4" t="s">
        <v>88</v>
      </c>
      <c r="P19" s="4">
        <v>0.59984576000000001</v>
      </c>
      <c r="Q19" s="4">
        <v>0.13475309999999999</v>
      </c>
      <c r="R19" s="4">
        <v>4.4514445199999999</v>
      </c>
      <c r="S19" s="12">
        <v>3839.61</v>
      </c>
      <c r="T19" s="15">
        <v>8.7717070000000002E-6</v>
      </c>
      <c r="U19" s="12">
        <f t="shared" si="2"/>
        <v>1.8218377784597053</v>
      </c>
      <c r="V19" s="12" t="s">
        <v>89</v>
      </c>
      <c r="W19" s="12">
        <v>0.67192280000000004</v>
      </c>
      <c r="X19" s="4">
        <v>0.1486934</v>
      </c>
      <c r="Y19" s="15">
        <v>4.5188462200000004</v>
      </c>
      <c r="Z19" s="12">
        <v>3750.6190000000001</v>
      </c>
      <c r="AA19" s="15">
        <v>6.4094230000000004E-6</v>
      </c>
      <c r="AB19" s="12">
        <f t="shared" si="3"/>
        <v>1.9579985430364542</v>
      </c>
      <c r="AC19" s="4" t="s">
        <v>89</v>
      </c>
      <c r="AD19" s="4">
        <v>0.78994008999999998</v>
      </c>
      <c r="AE19" s="4">
        <v>0.1623291</v>
      </c>
      <c r="AF19" s="4">
        <v>4.8662863600000001</v>
      </c>
      <c r="AG19" s="4">
        <v>3255.6709999999998</v>
      </c>
      <c r="AH19" s="18">
        <v>1.1911779999999999E-6</v>
      </c>
      <c r="AI19" s="12">
        <f t="shared" si="4"/>
        <v>2.2032644247301847</v>
      </c>
      <c r="AJ19" s="10"/>
      <c r="AK19" s="6" t="s">
        <v>89</v>
      </c>
      <c r="AL19" s="14">
        <v>0.78990000000000005</v>
      </c>
      <c r="AM19" s="4">
        <v>0.1623</v>
      </c>
      <c r="AN19" s="4">
        <v>4.8659999999999997</v>
      </c>
      <c r="AO19" s="4">
        <v>1.19E-6</v>
      </c>
      <c r="AP19" s="2">
        <f t="shared" si="5"/>
        <v>2.2031760976299259</v>
      </c>
      <c r="AR19" s="14"/>
      <c r="AS19" s="6" t="s">
        <v>89</v>
      </c>
      <c r="AT19" s="4">
        <v>1.8898699999999999</v>
      </c>
      <c r="AU19" s="4">
        <v>0.32332</v>
      </c>
      <c r="AV19" s="4">
        <v>5.8449999999999998</v>
      </c>
      <c r="AW19" s="4">
        <v>6.9800000000000003E-9</v>
      </c>
      <c r="AX19" s="2">
        <f t="shared" si="6"/>
        <v>6.6185082190457827</v>
      </c>
      <c r="AZ19" s="14"/>
      <c r="BA19" s="6" t="s">
        <v>89</v>
      </c>
      <c r="BB19" s="4">
        <v>0.50590000000000002</v>
      </c>
      <c r="BC19" s="4">
        <v>0.3039</v>
      </c>
      <c r="BD19" s="4">
        <v>1.665</v>
      </c>
      <c r="BE19" s="4">
        <v>9.6299999999999997E-2</v>
      </c>
      <c r="BF19" s="2">
        <f t="shared" si="7"/>
        <v>1.6584774787097705</v>
      </c>
      <c r="BG19" s="2" t="s">
        <v>71</v>
      </c>
      <c r="BK19" s="6" t="s">
        <v>89</v>
      </c>
      <c r="BL19" s="4">
        <v>0.69969999999999999</v>
      </c>
      <c r="BM19" s="4">
        <v>0.28420000000000001</v>
      </c>
      <c r="BN19" s="4">
        <v>2.4620000000000002</v>
      </c>
      <c r="BO19" s="4">
        <v>1.3979999999999999E-2</v>
      </c>
      <c r="BP19" s="2">
        <f t="shared" si="8"/>
        <v>2.0131486722680458</v>
      </c>
      <c r="BQ19" s="4" t="s">
        <v>72</v>
      </c>
      <c r="BU19" s="6" t="s">
        <v>90</v>
      </c>
      <c r="BV19" s="14">
        <v>0.71550000000000002</v>
      </c>
      <c r="BW19" s="4">
        <v>0.29430000000000001</v>
      </c>
      <c r="BX19" s="4">
        <v>2.431</v>
      </c>
      <c r="BY19" s="4">
        <v>1.5203E-2</v>
      </c>
      <c r="BZ19" s="2">
        <f t="shared" si="9"/>
        <v>2.0452090311656139</v>
      </c>
    </row>
    <row r="20" spans="5:79" ht="15" customHeight="1" x14ac:dyDescent="0.25">
      <c r="F20" s="15"/>
      <c r="G20" s="12"/>
      <c r="H20" s="4" t="s">
        <v>89</v>
      </c>
      <c r="I20" s="4">
        <v>0.44052633000000002</v>
      </c>
      <c r="J20" s="4">
        <v>0.12980534599999999</v>
      </c>
      <c r="K20" s="4">
        <v>3.3937455999999999</v>
      </c>
      <c r="L20" s="2">
        <v>3864.6080000000002</v>
      </c>
      <c r="M20" s="15">
        <v>6.9637629999999996E-4</v>
      </c>
      <c r="N20" s="12">
        <f t="shared" si="1"/>
        <v>1.553524670007407</v>
      </c>
      <c r="O20" s="4" t="s">
        <v>89</v>
      </c>
      <c r="P20" s="4">
        <v>0.39267369000000002</v>
      </c>
      <c r="Q20" s="4">
        <v>0.13231309999999999</v>
      </c>
      <c r="R20" s="4">
        <v>2.9677614800000001</v>
      </c>
      <c r="S20" s="12">
        <v>3839.61</v>
      </c>
      <c r="T20" s="15">
        <v>3.0182939999999999E-3</v>
      </c>
      <c r="U20" s="12">
        <f t="shared" si="2"/>
        <v>1.4809350665554581</v>
      </c>
      <c r="V20" s="12" t="s">
        <v>90</v>
      </c>
      <c r="W20" s="12">
        <v>0.78434009999999998</v>
      </c>
      <c r="X20" s="4">
        <v>0.16358900000000001</v>
      </c>
      <c r="Y20" s="15">
        <v>4.7945775900000003</v>
      </c>
      <c r="Z20" s="12">
        <v>3750.6190000000001</v>
      </c>
      <c r="AA20" s="15">
        <v>1.6934650000000001E-6</v>
      </c>
      <c r="AB20" s="12">
        <f t="shared" si="3"/>
        <v>2.1909606486495834</v>
      </c>
      <c r="AC20" s="4" t="s">
        <v>90</v>
      </c>
      <c r="AD20" s="4">
        <v>0.82693545999999996</v>
      </c>
      <c r="AE20" s="4">
        <v>0.17333100000000001</v>
      </c>
      <c r="AF20" s="4">
        <v>4.7708460500000003</v>
      </c>
      <c r="AG20" s="4">
        <v>3255.6709999999998</v>
      </c>
      <c r="AH20" s="18">
        <v>1.9151889999999998E-6</v>
      </c>
      <c r="AI20" s="12">
        <f t="shared" si="4"/>
        <v>2.2863015310029158</v>
      </c>
      <c r="AJ20" s="10"/>
      <c r="AK20" s="6" t="s">
        <v>90</v>
      </c>
      <c r="AL20" s="14">
        <v>0.82689999999999997</v>
      </c>
      <c r="AM20" s="4">
        <v>0.17330000000000001</v>
      </c>
      <c r="AN20" s="4">
        <v>4.7709999999999999</v>
      </c>
      <c r="AO20" s="4">
        <v>1.9199999999999998E-6</v>
      </c>
      <c r="AP20" s="2">
        <f t="shared" si="5"/>
        <v>2.2862204601880203</v>
      </c>
      <c r="AR20" s="14"/>
      <c r="AS20" s="6" t="s">
        <v>90</v>
      </c>
      <c r="AT20" s="4">
        <v>0.86455000000000004</v>
      </c>
      <c r="AU20" s="4">
        <v>0.46433999999999997</v>
      </c>
      <c r="AV20" s="4">
        <v>1.8620000000000001</v>
      </c>
      <c r="AW20" s="4">
        <v>6.293E-2</v>
      </c>
      <c r="AX20" s="2">
        <f t="shared" si="6"/>
        <v>2.3739375736717223</v>
      </c>
      <c r="AZ20" s="14"/>
      <c r="BA20" s="6" t="s">
        <v>90</v>
      </c>
      <c r="BB20" s="4">
        <v>0.56469999999999998</v>
      </c>
      <c r="BC20" s="4">
        <v>0.31419999999999998</v>
      </c>
      <c r="BD20" s="4">
        <v>1.7969999999999999</v>
      </c>
      <c r="BE20" s="4">
        <v>7.2599999999999998E-2</v>
      </c>
      <c r="BF20" s="2">
        <f t="shared" si="7"/>
        <v>1.7589200275542318</v>
      </c>
      <c r="BG20" s="2" t="s">
        <v>71</v>
      </c>
      <c r="BK20" s="6" t="s">
        <v>90</v>
      </c>
      <c r="BL20" s="4">
        <v>0.71350000000000002</v>
      </c>
      <c r="BM20" s="4">
        <v>0.29959999999999998</v>
      </c>
      <c r="BN20" s="4">
        <v>2.3809999999999998</v>
      </c>
      <c r="BO20" s="4">
        <v>1.7430000000000001E-2</v>
      </c>
      <c r="BP20" s="2">
        <f t="shared" si="8"/>
        <v>2.0411227007957629</v>
      </c>
      <c r="BQ20" s="4" t="s">
        <v>68</v>
      </c>
      <c r="BU20" s="6" t="s">
        <v>91</v>
      </c>
      <c r="BV20" s="14">
        <v>0.50619999999999998</v>
      </c>
      <c r="BW20" s="4">
        <v>0.34389999999999998</v>
      </c>
      <c r="BX20" s="4">
        <v>1.472</v>
      </c>
      <c r="BY20" s="4">
        <v>0.14134099999999999</v>
      </c>
      <c r="BZ20" s="2">
        <f t="shared" si="9"/>
        <v>1.6589750965923336</v>
      </c>
      <c r="CA20" s="4" t="s">
        <v>72</v>
      </c>
    </row>
    <row r="21" spans="5:79" ht="15" customHeight="1" x14ac:dyDescent="0.25">
      <c r="F21" s="15"/>
      <c r="G21" s="12"/>
      <c r="H21" s="4" t="s">
        <v>90</v>
      </c>
      <c r="I21" s="4">
        <v>0.68138325</v>
      </c>
      <c r="J21" s="4">
        <v>0.15817867699999999</v>
      </c>
      <c r="K21" s="4">
        <v>4.3076808</v>
      </c>
      <c r="L21" s="2">
        <v>3864.6080000000002</v>
      </c>
      <c r="M21" s="15">
        <v>1.6907610000000001E-5</v>
      </c>
      <c r="N21" s="12">
        <f t="shared" si="1"/>
        <v>1.9766099878642043</v>
      </c>
      <c r="O21" s="4" t="s">
        <v>90</v>
      </c>
      <c r="P21" s="4">
        <v>0.65049287</v>
      </c>
      <c r="Q21" s="4">
        <v>0.15921569999999999</v>
      </c>
      <c r="R21" s="4">
        <v>4.0856085100000001</v>
      </c>
      <c r="S21" s="12">
        <v>3839.61</v>
      </c>
      <c r="T21" s="15">
        <v>4.4859160000000003E-5</v>
      </c>
      <c r="U21" s="12">
        <f t="shared" si="2"/>
        <v>1.9164851743229117</v>
      </c>
      <c r="V21" s="12" t="s">
        <v>91</v>
      </c>
      <c r="W21" s="12">
        <v>0.55244349999999998</v>
      </c>
      <c r="X21" s="4">
        <v>0.18135519999999999</v>
      </c>
      <c r="Y21" s="15">
        <v>3.0461961799999999</v>
      </c>
      <c r="Z21" s="12">
        <v>3750.6190000000001</v>
      </c>
      <c r="AA21" s="15">
        <v>2.3336849999999998E-3</v>
      </c>
      <c r="AB21" s="12">
        <f t="shared" si="3"/>
        <v>1.7374934001938269</v>
      </c>
      <c r="AC21" s="4" t="s">
        <v>91</v>
      </c>
      <c r="AD21" s="4">
        <v>0.54066400999999997</v>
      </c>
      <c r="AE21" s="4">
        <v>0.1853117</v>
      </c>
      <c r="AF21" s="4">
        <v>2.9175929699999998</v>
      </c>
      <c r="AG21" s="4">
        <v>3255.6709999999998</v>
      </c>
      <c r="AH21" s="18">
        <v>3.5515920000000001E-3</v>
      </c>
      <c r="AI21" s="12">
        <f t="shared" si="4"/>
        <v>1.7171466862868388</v>
      </c>
      <c r="AJ21" s="10"/>
      <c r="AK21" s="6" t="s">
        <v>91</v>
      </c>
      <c r="AL21" s="14">
        <v>0.54069999999999996</v>
      </c>
      <c r="AM21" s="4">
        <v>0.18529999999999999</v>
      </c>
      <c r="AN21" s="4">
        <v>2.9180000000000001</v>
      </c>
      <c r="AO21" s="4">
        <v>3.552E-3</v>
      </c>
      <c r="AP21" s="2">
        <f t="shared" si="5"/>
        <v>1.7172084875081846</v>
      </c>
      <c r="AR21" s="14"/>
      <c r="AS21" s="6" t="s">
        <v>91</v>
      </c>
      <c r="AT21" s="4">
        <v>1.0698799999999999</v>
      </c>
      <c r="AU21" s="4">
        <v>0.37684000000000001</v>
      </c>
      <c r="AV21" s="4">
        <v>2.839</v>
      </c>
      <c r="AW21" s="4">
        <v>4.62E-3</v>
      </c>
      <c r="AX21" s="2">
        <f t="shared" si="6"/>
        <v>2.9150296754268918</v>
      </c>
      <c r="AZ21" s="14"/>
      <c r="BA21" s="6" t="s">
        <v>91</v>
      </c>
      <c r="BB21" s="4">
        <v>-8.1220000000000001E-2</v>
      </c>
      <c r="BC21" s="4">
        <v>0.34749999999999998</v>
      </c>
      <c r="BD21" s="4">
        <v>-0.23400000000000001</v>
      </c>
      <c r="BE21" s="4">
        <v>0.81520000000000004</v>
      </c>
      <c r="BF21" s="2">
        <f t="shared" si="7"/>
        <v>0.92199083114794111</v>
      </c>
      <c r="BK21" s="6" t="s">
        <v>91</v>
      </c>
      <c r="BL21" s="4">
        <v>0.94699999999999995</v>
      </c>
      <c r="BM21" s="4">
        <v>0.36480000000000001</v>
      </c>
      <c r="BN21" s="4">
        <v>2.5960000000000001</v>
      </c>
      <c r="BO21" s="4">
        <v>9.5600000000000008E-3</v>
      </c>
      <c r="BP21" s="2">
        <f t="shared" si="8"/>
        <v>2.5779641544043934</v>
      </c>
      <c r="BU21" s="6" t="s">
        <v>92</v>
      </c>
      <c r="BV21" s="14">
        <v>0.49259999999999998</v>
      </c>
      <c r="BW21" s="4">
        <v>0.40560000000000002</v>
      </c>
      <c r="BX21" s="4">
        <v>1.214</v>
      </c>
      <c r="BY21" s="4">
        <v>0.22484699999999999</v>
      </c>
      <c r="BZ21" s="2">
        <f t="shared" si="9"/>
        <v>1.6365657641407942</v>
      </c>
    </row>
    <row r="22" spans="5:79" ht="15" customHeight="1" x14ac:dyDescent="0.25">
      <c r="F22" s="15"/>
      <c r="G22" s="12"/>
      <c r="H22" s="4" t="s">
        <v>91</v>
      </c>
      <c r="I22" s="4">
        <v>0.458511</v>
      </c>
      <c r="J22" s="4">
        <v>0.17605636499999999</v>
      </c>
      <c r="K22" s="4">
        <v>2.6043421000000002</v>
      </c>
      <c r="L22" s="2">
        <v>3864.6080000000002</v>
      </c>
      <c r="M22" s="15">
        <v>9.2403309999999992E-3</v>
      </c>
      <c r="N22" s="12">
        <f t="shared" si="1"/>
        <v>1.581717054001416</v>
      </c>
      <c r="O22" s="4" t="s">
        <v>91</v>
      </c>
      <c r="P22" s="4">
        <v>0.51148274999999999</v>
      </c>
      <c r="Q22" s="4">
        <v>0.1802859</v>
      </c>
      <c r="R22" s="4">
        <v>2.8370650799999999</v>
      </c>
      <c r="S22" s="12">
        <v>3839.61</v>
      </c>
      <c r="T22" s="15">
        <v>4.5769010000000004E-3</v>
      </c>
      <c r="U22" s="12">
        <f t="shared" si="2"/>
        <v>1.6677622369812559</v>
      </c>
      <c r="V22" s="12" t="s">
        <v>92</v>
      </c>
      <c r="W22" s="12">
        <v>0.32509139999999997</v>
      </c>
      <c r="X22" s="4">
        <v>0.16042480000000001</v>
      </c>
      <c r="Y22" s="15">
        <v>2.0264411</v>
      </c>
      <c r="Z22" s="12">
        <v>3750.6190000000001</v>
      </c>
      <c r="AA22" s="15">
        <v>4.2790229999999999E-2</v>
      </c>
      <c r="AB22" s="12">
        <f t="shared" si="3"/>
        <v>1.3841571521630385</v>
      </c>
      <c r="AC22" s="4" t="s">
        <v>92</v>
      </c>
      <c r="AD22" s="4">
        <v>0.37081486000000002</v>
      </c>
      <c r="AE22" s="4">
        <v>0.1660423</v>
      </c>
      <c r="AF22" s="4">
        <v>2.2332552799999998</v>
      </c>
      <c r="AG22" s="4">
        <v>3255.6709999999998</v>
      </c>
      <c r="AH22" s="18">
        <v>2.5599810000000001E-2</v>
      </c>
      <c r="AI22" s="12">
        <f t="shared" si="4"/>
        <v>1.4489147964675986</v>
      </c>
      <c r="AJ22" s="10"/>
      <c r="AK22" s="6" t="s">
        <v>92</v>
      </c>
      <c r="AL22" s="14">
        <v>0.37080000000000002</v>
      </c>
      <c r="AM22" s="4">
        <v>0.16600000000000001</v>
      </c>
      <c r="AN22" s="4">
        <v>2.2330000000000001</v>
      </c>
      <c r="AO22" s="4">
        <v>2.5600000000000001E-2</v>
      </c>
      <c r="AP22" s="2">
        <f t="shared" si="5"/>
        <v>1.4488932657536966</v>
      </c>
      <c r="AR22" s="14"/>
      <c r="AS22" s="6" t="s">
        <v>92</v>
      </c>
      <c r="AT22" s="4">
        <v>0.59869000000000006</v>
      </c>
      <c r="AU22" s="4">
        <v>0.36092000000000002</v>
      </c>
      <c r="AV22" s="4">
        <v>1.659</v>
      </c>
      <c r="AW22" s="4">
        <v>9.7500000000000003E-2</v>
      </c>
      <c r="AX22" s="2">
        <f t="shared" si="6"/>
        <v>1.8197333875485429</v>
      </c>
      <c r="AZ22" s="14"/>
      <c r="BA22" s="6" t="s">
        <v>92</v>
      </c>
      <c r="BB22" s="4">
        <v>0.51729999999999998</v>
      </c>
      <c r="BC22" s="4">
        <v>0.29020000000000001</v>
      </c>
      <c r="BD22" s="4">
        <v>1.7829999999999999</v>
      </c>
      <c r="BE22" s="4">
        <v>7.4899999999999994E-2</v>
      </c>
      <c r="BF22" s="2">
        <f t="shared" si="7"/>
        <v>1.6774923005213134</v>
      </c>
      <c r="BG22" s="2" t="s">
        <v>71</v>
      </c>
      <c r="BK22" s="6" t="s">
        <v>92</v>
      </c>
      <c r="BL22" s="4">
        <v>0.43580000000000002</v>
      </c>
      <c r="BM22" s="4">
        <v>0.29709999999999998</v>
      </c>
      <c r="BN22" s="4">
        <v>1.4670000000000001</v>
      </c>
      <c r="BO22" s="4">
        <v>0.14263000000000001</v>
      </c>
      <c r="BP22" s="2">
        <f t="shared" si="8"/>
        <v>1.5461995239185415</v>
      </c>
      <c r="BU22" s="6" t="s">
        <v>93</v>
      </c>
      <c r="BV22" s="14">
        <v>-4.258E-2</v>
      </c>
      <c r="BW22" s="4">
        <v>0.28620000000000001</v>
      </c>
      <c r="BX22" s="4">
        <v>-0.14899999999999999</v>
      </c>
      <c r="BY22" s="4">
        <v>0.88177799999999995</v>
      </c>
      <c r="BZ22" s="2">
        <f t="shared" si="9"/>
        <v>0.95831379735047295</v>
      </c>
    </row>
    <row r="23" spans="5:79" ht="15" customHeight="1" x14ac:dyDescent="0.25">
      <c r="F23" s="15"/>
      <c r="G23" s="12"/>
      <c r="H23" s="4" t="s">
        <v>92</v>
      </c>
      <c r="I23" s="4">
        <v>0.18117148</v>
      </c>
      <c r="J23" s="4">
        <v>0.14445166500000001</v>
      </c>
      <c r="K23" s="4">
        <v>1.2542013999999999</v>
      </c>
      <c r="L23" s="2">
        <v>3864.6080000000002</v>
      </c>
      <c r="M23" s="15">
        <v>0.2098447</v>
      </c>
      <c r="N23" s="12">
        <f t="shared" si="1"/>
        <v>1.1986207011490853</v>
      </c>
      <c r="O23" s="4" t="s">
        <v>92</v>
      </c>
      <c r="P23" s="4">
        <v>0.17230854000000001</v>
      </c>
      <c r="Q23" s="4">
        <v>0.14522940000000001</v>
      </c>
      <c r="R23" s="4">
        <v>1.1864578699999999</v>
      </c>
      <c r="S23" s="12">
        <v>3839.61</v>
      </c>
      <c r="T23" s="15">
        <v>0.2355149</v>
      </c>
      <c r="U23" s="12">
        <f t="shared" si="2"/>
        <v>1.188044335870023</v>
      </c>
      <c r="V23" s="12" t="s">
        <v>93</v>
      </c>
      <c r="W23" s="12">
        <v>0.18929190000000001</v>
      </c>
      <c r="X23" s="4">
        <v>0.1634235</v>
      </c>
      <c r="Y23" s="15">
        <v>1.15829066</v>
      </c>
      <c r="Z23" s="12">
        <v>3750.6190000000001</v>
      </c>
      <c r="AA23" s="15">
        <v>0.24681919999999999</v>
      </c>
      <c r="AB23" s="12">
        <f t="shared" si="3"/>
        <v>1.2083936311078727</v>
      </c>
      <c r="AC23" s="4" t="s">
        <v>93</v>
      </c>
      <c r="AD23" s="4">
        <v>0.17044709999999999</v>
      </c>
      <c r="AE23" s="4">
        <v>0.16937579999999999</v>
      </c>
      <c r="AF23" s="4">
        <v>1.00632498</v>
      </c>
      <c r="AG23" s="4">
        <v>3255.6709999999998</v>
      </c>
      <c r="AH23" s="18">
        <v>0.31433410000000001</v>
      </c>
      <c r="AI23" s="12">
        <f t="shared" si="4"/>
        <v>1.1858349196073263</v>
      </c>
      <c r="AJ23" s="10"/>
      <c r="AK23" s="6" t="s">
        <v>93</v>
      </c>
      <c r="AL23" s="14">
        <v>0.1704</v>
      </c>
      <c r="AM23" s="4">
        <v>0.1694</v>
      </c>
      <c r="AN23" s="4">
        <v>1.006</v>
      </c>
      <c r="AO23" s="4">
        <v>0.314334</v>
      </c>
      <c r="AP23" s="2">
        <f t="shared" si="5"/>
        <v>1.1857790680979263</v>
      </c>
      <c r="AR23" s="14"/>
      <c r="AS23" s="6"/>
      <c r="AZ23" s="14"/>
      <c r="BA23" s="6" t="s">
        <v>93</v>
      </c>
      <c r="BB23" s="4">
        <v>0.3196</v>
      </c>
      <c r="BC23" s="4">
        <v>0.372</v>
      </c>
      <c r="BD23" s="4">
        <v>0.85899999999999999</v>
      </c>
      <c r="BE23" s="4">
        <v>0.3906</v>
      </c>
      <c r="BF23" s="2">
        <f t="shared" si="7"/>
        <v>1.3765770233857559</v>
      </c>
      <c r="BK23" s="6" t="s">
        <v>93</v>
      </c>
      <c r="BL23" s="4">
        <v>7.5329999999999998E-3</v>
      </c>
      <c r="BM23" s="4">
        <v>0.27389999999999998</v>
      </c>
      <c r="BN23" s="4">
        <v>2.8000000000000001E-2</v>
      </c>
      <c r="BO23" s="4">
        <v>0.97806999999999999</v>
      </c>
      <c r="BP23" s="2">
        <f t="shared" si="8"/>
        <v>1.0075614444235887</v>
      </c>
      <c r="BU23" s="6"/>
      <c r="BV23" s="14"/>
    </row>
    <row r="24" spans="5:79" ht="15" customHeight="1" x14ac:dyDescent="0.25">
      <c r="F24" s="15"/>
      <c r="G24" s="12"/>
      <c r="H24" s="4" t="s">
        <v>93</v>
      </c>
      <c r="I24" s="4">
        <v>3.8641059999999998E-2</v>
      </c>
      <c r="J24" s="4">
        <v>0.15504514999999999</v>
      </c>
      <c r="K24" s="4">
        <v>0.24922459999999999</v>
      </c>
      <c r="L24" s="2">
        <v>3864.6080000000002</v>
      </c>
      <c r="M24" s="15">
        <v>0.80320029999999998</v>
      </c>
      <c r="N24" s="12">
        <f t="shared" si="1"/>
        <v>1.0393973354056782</v>
      </c>
      <c r="O24" s="4" t="s">
        <v>93</v>
      </c>
      <c r="P24" s="4">
        <v>1.0508480000000001E-2</v>
      </c>
      <c r="Q24" s="4">
        <v>0.15611369999999999</v>
      </c>
      <c r="R24" s="4">
        <v>6.7312979999999994E-2</v>
      </c>
      <c r="S24" s="12">
        <v>3839.61</v>
      </c>
      <c r="T24" s="15">
        <v>0.94633610000000001</v>
      </c>
      <c r="U24" s="12">
        <f t="shared" si="2"/>
        <v>1.0105638879904617</v>
      </c>
      <c r="V24" s="12" t="s">
        <v>94</v>
      </c>
      <c r="W24" s="12">
        <v>-0.28900510000000001</v>
      </c>
      <c r="X24" s="4">
        <v>0.50403200000000004</v>
      </c>
      <c r="Y24" s="15">
        <v>-0.57338644000000005</v>
      </c>
      <c r="Z24" s="12">
        <v>3750.6190000000001</v>
      </c>
      <c r="AA24" s="15">
        <v>0.56641739999999996</v>
      </c>
      <c r="AB24" s="12">
        <f t="shared" si="3"/>
        <v>0.74900838545016268</v>
      </c>
      <c r="AC24" s="4" t="s">
        <v>94</v>
      </c>
      <c r="AD24" s="4">
        <v>-0.12213519</v>
      </c>
      <c r="AE24" s="4">
        <v>0.52320460000000002</v>
      </c>
      <c r="AF24" s="4">
        <v>-0.23343678000000001</v>
      </c>
      <c r="AG24" s="4">
        <v>3255.6709999999998</v>
      </c>
      <c r="AH24" s="18">
        <v>0.81543690000000002</v>
      </c>
      <c r="AI24" s="12">
        <f t="shared" si="4"/>
        <v>0.8850287133829593</v>
      </c>
      <c r="AJ24" s="10"/>
      <c r="AK24" s="6" t="s">
        <v>94</v>
      </c>
      <c r="AL24" s="14">
        <v>-0.1221</v>
      </c>
      <c r="AM24" s="4">
        <v>0.5232</v>
      </c>
      <c r="AN24" s="4">
        <v>-0.23300000000000001</v>
      </c>
      <c r="AO24" s="4">
        <v>0.81543699999999997</v>
      </c>
      <c r="AP24" s="2">
        <f t="shared" si="5"/>
        <v>0.88505985809137111</v>
      </c>
      <c r="AR24" s="14"/>
      <c r="AS24" s="6" t="s">
        <v>94</v>
      </c>
      <c r="AT24" s="4">
        <v>1.4124399999999999</v>
      </c>
      <c r="AU24" s="4">
        <v>1.01844</v>
      </c>
      <c r="AV24" s="4">
        <v>1.387</v>
      </c>
      <c r="AW24" s="4">
        <v>0.16581000000000001</v>
      </c>
      <c r="AX24" s="2">
        <f t="shared" si="6"/>
        <v>4.1059617380200519</v>
      </c>
      <c r="AZ24" s="14"/>
      <c r="BA24" s="6" t="s">
        <v>94</v>
      </c>
      <c r="BB24" s="4">
        <v>-0.94110000000000005</v>
      </c>
      <c r="BC24" s="4">
        <v>0.75029999999999997</v>
      </c>
      <c r="BD24" s="4">
        <v>-1.254</v>
      </c>
      <c r="BE24" s="4">
        <v>0.21010000000000001</v>
      </c>
      <c r="BF24" s="2">
        <f t="shared" si="7"/>
        <v>0.39019838098283666</v>
      </c>
      <c r="BK24" s="6" t="s">
        <v>94</v>
      </c>
      <c r="BL24" s="4">
        <v>-0.11749999999999999</v>
      </c>
      <c r="BM24" s="4">
        <v>0.60599999999999998</v>
      </c>
      <c r="BN24" s="4">
        <v>-0.19400000000000001</v>
      </c>
      <c r="BO24" s="4">
        <v>0.84631000000000001</v>
      </c>
      <c r="BP24" s="2">
        <f t="shared" si="8"/>
        <v>0.88914051174644804</v>
      </c>
      <c r="BU24" s="6" t="s">
        <v>95</v>
      </c>
      <c r="BV24" s="4">
        <v>-0.1754</v>
      </c>
      <c r="BW24" s="4">
        <v>0.38840000000000002</v>
      </c>
      <c r="BX24" s="4">
        <v>-0.45100000000000001</v>
      </c>
      <c r="BY24" s="4">
        <v>0.65173300000000001</v>
      </c>
      <c r="BZ24" s="2">
        <f t="shared" si="9"/>
        <v>0.83912130510850802</v>
      </c>
    </row>
    <row r="25" spans="5:79" ht="15" customHeight="1" x14ac:dyDescent="0.25">
      <c r="F25" s="15"/>
      <c r="G25" s="12"/>
      <c r="H25" s="4" t="s">
        <v>94</v>
      </c>
      <c r="I25" s="4">
        <v>-0.28644270999999999</v>
      </c>
      <c r="J25" s="4">
        <v>0.49604931499999999</v>
      </c>
      <c r="K25" s="4">
        <v>-0.57744810000000002</v>
      </c>
      <c r="L25" s="2">
        <v>3864.6080000000002</v>
      </c>
      <c r="M25" s="15">
        <v>0.56367049999999996</v>
      </c>
      <c r="N25" s="12">
        <f t="shared" si="1"/>
        <v>0.7509300980841026</v>
      </c>
      <c r="O25" s="4" t="s">
        <v>94</v>
      </c>
      <c r="P25" s="4">
        <v>-0.30557927000000001</v>
      </c>
      <c r="Q25" s="4">
        <v>0.48372599999999999</v>
      </c>
      <c r="R25" s="4">
        <v>-0.63171973999999997</v>
      </c>
      <c r="S25" s="12">
        <v>3839.61</v>
      </c>
      <c r="T25" s="15">
        <v>0.52760759999999995</v>
      </c>
      <c r="U25" s="12">
        <f t="shared" si="2"/>
        <v>0.73669650458291736</v>
      </c>
      <c r="V25" s="12" t="s">
        <v>95</v>
      </c>
      <c r="W25" s="12">
        <v>4.460592E-2</v>
      </c>
      <c r="X25" s="4">
        <v>0.37016909999999997</v>
      </c>
      <c r="Y25" s="15">
        <v>0.12050147</v>
      </c>
      <c r="Z25" s="12">
        <v>3750.6190000000001</v>
      </c>
      <c r="AA25" s="15">
        <v>0.90409240000000002</v>
      </c>
      <c r="AB25" s="12">
        <f t="shared" si="3"/>
        <v>1.0456157224625802</v>
      </c>
      <c r="AC25" s="4" t="s">
        <v>95</v>
      </c>
      <c r="AD25" s="4">
        <v>2.6711160000000001E-2</v>
      </c>
      <c r="AE25" s="4">
        <v>0.38556230000000002</v>
      </c>
      <c r="AF25" s="4">
        <v>6.9278450000000005E-2</v>
      </c>
      <c r="AG25" s="4">
        <v>3255.6709999999998</v>
      </c>
      <c r="AH25" s="18">
        <v>0.94477219999999995</v>
      </c>
      <c r="AI25" s="12">
        <f t="shared" si="4"/>
        <v>1.027071100699114</v>
      </c>
      <c r="AJ25" s="10"/>
      <c r="AK25" s="6" t="s">
        <v>95</v>
      </c>
      <c r="AL25" s="14">
        <v>2.6710000000000001E-2</v>
      </c>
      <c r="AM25" s="4">
        <v>0.3856</v>
      </c>
      <c r="AN25" s="4">
        <v>6.9000000000000006E-2</v>
      </c>
      <c r="AO25" s="4">
        <v>0.94477199999999995</v>
      </c>
      <c r="AP25" s="2">
        <f t="shared" si="5"/>
        <v>1.0270699092973283</v>
      </c>
      <c r="AR25" s="14"/>
      <c r="AS25" s="6"/>
      <c r="AZ25" s="14"/>
      <c r="BA25" s="6"/>
      <c r="BG25" s="2" t="s">
        <v>70</v>
      </c>
      <c r="BK25" s="6"/>
      <c r="BU25" s="6" t="s">
        <v>96</v>
      </c>
      <c r="BV25" s="4">
        <v>0.28129999999999999</v>
      </c>
      <c r="BW25" s="4">
        <v>0.43809999999999999</v>
      </c>
      <c r="BX25" s="4">
        <v>0.64200000000000002</v>
      </c>
      <c r="BY25" s="4">
        <v>0.52095400000000003</v>
      </c>
      <c r="BZ25" s="2">
        <f t="shared" si="9"/>
        <v>1.3248509996228106</v>
      </c>
    </row>
    <row r="26" spans="5:79" ht="15" customHeight="1" x14ac:dyDescent="0.25">
      <c r="F26" s="15"/>
      <c r="G26" s="12"/>
      <c r="H26" s="4" t="s">
        <v>95</v>
      </c>
      <c r="I26" s="4">
        <v>-0.14148991999999999</v>
      </c>
      <c r="J26" s="4">
        <v>0.36430641600000002</v>
      </c>
      <c r="K26" s="4">
        <v>-0.38838159999999999</v>
      </c>
      <c r="L26" s="2">
        <v>3864.6080000000002</v>
      </c>
      <c r="M26" s="15">
        <v>0.69775500000000001</v>
      </c>
      <c r="N26" s="12">
        <f t="shared" si="1"/>
        <v>0.86806392562516177</v>
      </c>
      <c r="O26" s="4" t="s">
        <v>95</v>
      </c>
      <c r="P26" s="4">
        <v>-8.4177219999999997E-2</v>
      </c>
      <c r="Q26" s="4">
        <v>0.36538140000000002</v>
      </c>
      <c r="R26" s="4">
        <v>-0.23038175999999999</v>
      </c>
      <c r="S26" s="12">
        <v>3839.61</v>
      </c>
      <c r="T26" s="15">
        <v>0.81780739999999996</v>
      </c>
      <c r="U26" s="12">
        <f t="shared" si="2"/>
        <v>0.9192683289253224</v>
      </c>
      <c r="V26" s="12" t="s">
        <v>96</v>
      </c>
      <c r="W26" s="12">
        <v>0.16029950000000001</v>
      </c>
      <c r="X26" s="4">
        <v>0.32858710000000002</v>
      </c>
      <c r="Y26" s="15">
        <v>0.48784477999999998</v>
      </c>
      <c r="Z26" s="12">
        <v>3750.6190000000001</v>
      </c>
      <c r="AA26" s="15">
        <v>0.62568829999999998</v>
      </c>
      <c r="AB26" s="12">
        <f t="shared" si="3"/>
        <v>1.1738623901350365</v>
      </c>
      <c r="AC26" s="4" t="s">
        <v>96</v>
      </c>
      <c r="AD26" s="4">
        <v>0.23003079000000001</v>
      </c>
      <c r="AE26" s="4">
        <v>0.34289740000000002</v>
      </c>
      <c r="AF26" s="4">
        <v>0.67084436000000003</v>
      </c>
      <c r="AG26" s="4">
        <v>3255.6709999999998</v>
      </c>
      <c r="AH26" s="18">
        <v>0.50236729999999996</v>
      </c>
      <c r="AI26" s="12">
        <f t="shared" si="4"/>
        <v>1.2586387628203812</v>
      </c>
      <c r="AJ26" s="10"/>
      <c r="AK26" s="6" t="s">
        <v>96</v>
      </c>
      <c r="AL26" s="14">
        <v>0.23</v>
      </c>
      <c r="AM26" s="4">
        <v>0.34289999999999998</v>
      </c>
      <c r="AN26" s="4">
        <v>0.67100000000000004</v>
      </c>
      <c r="AO26" s="4">
        <v>0.50236700000000001</v>
      </c>
      <c r="AP26" s="2">
        <f t="shared" si="5"/>
        <v>1.2586000099294778</v>
      </c>
      <c r="AR26" s="14"/>
      <c r="AS26" s="6"/>
      <c r="AZ26" s="14"/>
      <c r="BA26" s="6"/>
      <c r="BK26" s="6" t="s">
        <v>96</v>
      </c>
      <c r="BL26" s="4">
        <v>-0.47689999999999999</v>
      </c>
      <c r="BM26" s="4">
        <v>0.6492</v>
      </c>
      <c r="BN26" s="4">
        <v>-0.73399999999999999</v>
      </c>
      <c r="BO26" s="4">
        <v>0.46281</v>
      </c>
      <c r="BP26" s="2">
        <f t="shared" si="8"/>
        <v>0.6207045966496828</v>
      </c>
      <c r="BU26" s="2"/>
      <c r="BV26" s="2"/>
      <c r="BW26" s="2"/>
      <c r="BX26" s="2"/>
      <c r="BY26" s="2"/>
    </row>
    <row r="27" spans="5:79" ht="15" customHeight="1" x14ac:dyDescent="0.25">
      <c r="F27" s="15"/>
      <c r="G27" s="12"/>
      <c r="H27" s="4" t="s">
        <v>96</v>
      </c>
      <c r="I27" s="4">
        <v>0.12542420000000001</v>
      </c>
      <c r="J27" s="4">
        <v>0.32625763400000002</v>
      </c>
      <c r="K27" s="4">
        <v>0.38443300000000002</v>
      </c>
      <c r="L27" s="2">
        <v>3864.6080000000002</v>
      </c>
      <c r="M27" s="15">
        <v>0.70067869999999999</v>
      </c>
      <c r="N27" s="12">
        <f t="shared" si="1"/>
        <v>1.1336292366075966</v>
      </c>
      <c r="O27" s="4" t="s">
        <v>96</v>
      </c>
      <c r="P27" s="4">
        <v>4.3429839999999997E-2</v>
      </c>
      <c r="Q27" s="4">
        <v>0.3249572</v>
      </c>
      <c r="R27" s="4">
        <v>0.13364786000000001</v>
      </c>
      <c r="S27" s="12">
        <v>3839.61</v>
      </c>
      <c r="T27" s="15">
        <v>0.89368800000000004</v>
      </c>
      <c r="U27" s="12">
        <f t="shared" si="2"/>
        <v>1.0443867175694035</v>
      </c>
      <c r="V27" s="12" t="s">
        <v>97</v>
      </c>
      <c r="W27" s="12">
        <v>0.47849649999999999</v>
      </c>
      <c r="X27" s="4">
        <v>0.13635630000000001</v>
      </c>
      <c r="Y27" s="15">
        <v>3.50916213</v>
      </c>
      <c r="Z27" s="12">
        <v>3750.6190000000001</v>
      </c>
      <c r="AA27" s="15">
        <v>4.5480420000000002E-4</v>
      </c>
      <c r="AB27" s="12">
        <f t="shared" si="3"/>
        <v>1.6136464599921119</v>
      </c>
      <c r="AC27" s="4" t="s">
        <v>82</v>
      </c>
      <c r="AD27" s="4">
        <v>-0.52860235</v>
      </c>
      <c r="AE27" s="4">
        <v>0.75833059999999997</v>
      </c>
      <c r="AF27" s="4">
        <v>-0.69706051999999996</v>
      </c>
      <c r="AG27" s="4">
        <v>3255.6709999999998</v>
      </c>
      <c r="AH27" s="18">
        <v>0.48581469999999999</v>
      </c>
      <c r="AI27" s="12">
        <f t="shared" si="4"/>
        <v>0.58942820858014033</v>
      </c>
      <c r="AJ27" s="10"/>
      <c r="AK27" s="6" t="s">
        <v>82</v>
      </c>
      <c r="AL27" s="14">
        <v>-0.52859999999999996</v>
      </c>
      <c r="AM27" s="4">
        <v>0.75829999999999997</v>
      </c>
      <c r="AN27" s="4">
        <v>-0.69699999999999995</v>
      </c>
      <c r="AO27" s="4">
        <v>0.485815</v>
      </c>
      <c r="AP27" s="2">
        <f t="shared" si="5"/>
        <v>0.58942959373805814</v>
      </c>
      <c r="AR27" s="14"/>
      <c r="AS27" s="6"/>
      <c r="AZ27" s="14"/>
      <c r="BA27" s="6"/>
      <c r="BK27" s="2"/>
      <c r="BL27" s="2"/>
      <c r="BM27" s="2"/>
      <c r="BN27" s="2"/>
      <c r="BO27" s="2"/>
      <c r="BU27" s="2"/>
      <c r="BV27" s="2"/>
      <c r="BW27" s="2"/>
      <c r="BX27" s="2"/>
      <c r="BY27" s="2"/>
      <c r="CA27" s="4" t="s">
        <v>72</v>
      </c>
    </row>
    <row r="28" spans="5:79" ht="15" customHeight="1" x14ac:dyDescent="0.25">
      <c r="F28" s="15"/>
      <c r="G28" s="12"/>
      <c r="H28" s="4" t="s">
        <v>97</v>
      </c>
      <c r="I28" s="4">
        <v>0.35248715000000003</v>
      </c>
      <c r="J28" s="4">
        <v>0.13043189999999999</v>
      </c>
      <c r="K28" s="4">
        <v>2.7024612000000001</v>
      </c>
      <c r="L28" s="2">
        <v>3864.6080000000002</v>
      </c>
      <c r="M28" s="15">
        <v>6.9129049999999996E-3</v>
      </c>
      <c r="N28" s="12">
        <f>EXP(I28)</f>
        <v>1.4226013752035054</v>
      </c>
      <c r="O28" s="4" t="s">
        <v>97</v>
      </c>
      <c r="P28" s="4">
        <v>0.33776826999999998</v>
      </c>
      <c r="Q28" s="4">
        <v>0.13199449999999999</v>
      </c>
      <c r="R28" s="4">
        <v>2.55895793</v>
      </c>
      <c r="S28" s="12">
        <v>3839.61</v>
      </c>
      <c r="T28" s="15">
        <v>1.053665E-2</v>
      </c>
      <c r="U28" s="12">
        <f t="shared" si="2"/>
        <v>1.4018156230301848</v>
      </c>
      <c r="V28" s="12" t="s">
        <v>82</v>
      </c>
      <c r="W28" s="12">
        <v>-0.88860479999999997</v>
      </c>
      <c r="X28" s="4">
        <v>0.84491720000000003</v>
      </c>
      <c r="Y28" s="15">
        <v>-1.05170633</v>
      </c>
      <c r="Z28" s="12">
        <v>3750.6190000000001</v>
      </c>
      <c r="AA28" s="15">
        <v>0.29300209999999999</v>
      </c>
      <c r="AB28" s="12">
        <f t="shared" si="3"/>
        <v>0.4112290995322937</v>
      </c>
      <c r="AC28" s="4" t="s">
        <v>83</v>
      </c>
      <c r="AD28" s="4">
        <v>-3.0768549999999999E-2</v>
      </c>
      <c r="AE28" s="4">
        <v>0.1603414</v>
      </c>
      <c r="AF28" s="4">
        <v>-0.19189401</v>
      </c>
      <c r="AG28" s="4">
        <v>3255.6709999999998</v>
      </c>
      <c r="AH28" s="18">
        <v>0.84783719999999996</v>
      </c>
      <c r="AI28" s="12">
        <f t="shared" si="4"/>
        <v>0.96969998416638603</v>
      </c>
      <c r="AJ28" s="10"/>
      <c r="AK28" s="6" t="s">
        <v>83</v>
      </c>
      <c r="AL28" s="14">
        <v>-3.0769999999999999E-2</v>
      </c>
      <c r="AM28" s="4">
        <v>0.1603</v>
      </c>
      <c r="AN28" s="4">
        <v>-0.192</v>
      </c>
      <c r="AO28" s="4">
        <v>0.84783699999999995</v>
      </c>
      <c r="AP28" s="2">
        <f t="shared" si="5"/>
        <v>0.96969857810242843</v>
      </c>
      <c r="AR28" s="14"/>
      <c r="AS28" s="6" t="s">
        <v>82</v>
      </c>
      <c r="AT28" s="4">
        <v>0.17899999999999999</v>
      </c>
      <c r="AU28" s="4">
        <v>1.21286</v>
      </c>
      <c r="AV28" s="4">
        <v>0.14799999999999999</v>
      </c>
      <c r="AW28" s="4">
        <v>0.88270000000000004</v>
      </c>
      <c r="AX28" s="2">
        <f t="shared" si="6"/>
        <v>1.1960207441678836</v>
      </c>
      <c r="AZ28" s="14"/>
      <c r="BA28" s="6" t="s">
        <v>82</v>
      </c>
      <c r="BB28" s="4">
        <v>-13.54</v>
      </c>
      <c r="BC28" s="4">
        <v>0.85580000000000001</v>
      </c>
      <c r="BD28" s="4">
        <v>-15.82</v>
      </c>
      <c r="BE28" s="4">
        <v>0</v>
      </c>
      <c r="BF28" s="2">
        <f t="shared" si="7"/>
        <v>1.3172030117077469E-6</v>
      </c>
      <c r="BK28" s="2"/>
      <c r="BL28" s="2"/>
      <c r="BM28" s="2"/>
      <c r="BN28" s="2"/>
      <c r="BO28" s="2"/>
      <c r="BU28" s="2"/>
      <c r="BV28" s="2"/>
      <c r="BW28" s="2"/>
      <c r="BX28" s="2"/>
      <c r="BY28" s="2"/>
    </row>
    <row r="29" spans="5:79" ht="15" customHeight="1" x14ac:dyDescent="0.25">
      <c r="F29" s="15"/>
      <c r="G29" s="12"/>
      <c r="L29" s="2"/>
      <c r="M29" s="15"/>
      <c r="N29" s="12"/>
      <c r="S29" s="12"/>
      <c r="T29" s="15"/>
      <c r="U29" s="12"/>
      <c r="V29" s="12" t="s">
        <v>83</v>
      </c>
      <c r="W29" s="12">
        <v>-4.73348E-3</v>
      </c>
      <c r="X29" s="4">
        <v>0.1488409</v>
      </c>
      <c r="Y29" s="15">
        <v>-3.1802289999999997E-2</v>
      </c>
      <c r="Z29" s="12">
        <v>3750.6190000000001</v>
      </c>
      <c r="AA29" s="15">
        <v>0.97463140000000004</v>
      </c>
      <c r="AB29" s="12">
        <f t="shared" ref="AB29:AB38" si="10">EXP(W29)</f>
        <v>0.9952777052610926</v>
      </c>
      <c r="AC29" s="4" t="s">
        <v>84</v>
      </c>
      <c r="AD29" s="4">
        <v>-3.9380970000000001E-2</v>
      </c>
      <c r="AE29" s="4">
        <v>0.2102116</v>
      </c>
      <c r="AF29" s="4">
        <v>-0.18733960999999999</v>
      </c>
      <c r="AG29" s="4">
        <v>3255.6709999999998</v>
      </c>
      <c r="AH29" s="18">
        <v>0.851406</v>
      </c>
      <c r="AI29" s="12">
        <f t="shared" si="4"/>
        <v>0.96138438076319599</v>
      </c>
      <c r="AJ29" s="10"/>
      <c r="AK29" s="6" t="s">
        <v>84</v>
      </c>
      <c r="AL29" s="14">
        <v>-3.9379999999999998E-2</v>
      </c>
      <c r="AM29" s="4">
        <v>0.2102</v>
      </c>
      <c r="AN29" s="4">
        <v>-0.187</v>
      </c>
      <c r="AO29" s="4">
        <v>0.851406</v>
      </c>
      <c r="AP29" s="2">
        <f t="shared" si="5"/>
        <v>0.96138531330649757</v>
      </c>
      <c r="AR29" s="14"/>
      <c r="AS29" s="6" t="s">
        <v>83</v>
      </c>
      <c r="AT29" s="4">
        <v>-0.18557999999999999</v>
      </c>
      <c r="AU29" s="4">
        <v>0.30009000000000002</v>
      </c>
      <c r="AV29" s="4">
        <v>-0.61799999999999999</v>
      </c>
      <c r="AW29" s="4">
        <v>0.53646000000000005</v>
      </c>
      <c r="AX29" s="2">
        <f t="shared" si="6"/>
        <v>0.83062238313220949</v>
      </c>
      <c r="AZ29" s="14"/>
      <c r="BA29" s="6" t="s">
        <v>83</v>
      </c>
      <c r="BB29" s="4">
        <v>-0.38229999999999997</v>
      </c>
      <c r="BC29" s="4">
        <v>0.29070000000000001</v>
      </c>
      <c r="BD29" s="4">
        <v>-1.3149999999999999</v>
      </c>
      <c r="BE29" s="4">
        <v>0.18870000000000001</v>
      </c>
      <c r="BF29" s="2">
        <f t="shared" si="7"/>
        <v>0.68229033539863493</v>
      </c>
      <c r="BK29" s="2"/>
      <c r="BL29" s="2"/>
      <c r="BM29" s="2"/>
      <c r="BN29" s="2"/>
      <c r="BO29" s="2"/>
      <c r="BU29" s="2"/>
      <c r="BV29" s="2"/>
      <c r="BW29" s="2"/>
      <c r="BX29" s="2"/>
      <c r="BY29" s="2"/>
    </row>
    <row r="30" spans="5:79" ht="15" customHeight="1" x14ac:dyDescent="0.25">
      <c r="F30" s="15"/>
      <c r="G30" s="12"/>
      <c r="H30" s="4" t="s">
        <v>82</v>
      </c>
      <c r="I30" s="4">
        <v>-0.81708164999999999</v>
      </c>
      <c r="J30" s="4">
        <v>0.78016447799999999</v>
      </c>
      <c r="K30" s="4">
        <v>-1.0473197000000001</v>
      </c>
      <c r="L30" s="2">
        <v>3864.6080000000002</v>
      </c>
      <c r="M30" s="15">
        <v>0.29501759999999999</v>
      </c>
      <c r="N30" s="12">
        <f t="shared" si="1"/>
        <v>0.44171886557756929</v>
      </c>
      <c r="O30" s="4" t="s">
        <v>79</v>
      </c>
      <c r="P30" s="4">
        <v>-0.79694052999999998</v>
      </c>
      <c r="Q30" s="4">
        <v>0.7995736</v>
      </c>
      <c r="R30" s="4">
        <v>-0.99670689999999995</v>
      </c>
      <c r="S30" s="12">
        <v>3839.61</v>
      </c>
      <c r="T30" s="15">
        <v>0.31896960000000002</v>
      </c>
      <c r="U30" s="12">
        <f t="shared" si="2"/>
        <v>0.45070577768902326</v>
      </c>
      <c r="V30" s="12" t="s">
        <v>84</v>
      </c>
      <c r="W30" s="12">
        <v>-7.5788980000000006E-2</v>
      </c>
      <c r="X30" s="4">
        <v>0.1985111</v>
      </c>
      <c r="Y30" s="15">
        <v>-0.38178712999999997</v>
      </c>
      <c r="Z30" s="12">
        <v>3750.6190000000001</v>
      </c>
      <c r="AA30" s="15">
        <v>0.70264090000000001</v>
      </c>
      <c r="AB30" s="12">
        <f t="shared" si="10"/>
        <v>0.92701180395204552</v>
      </c>
      <c r="AC30" s="4" t="s">
        <v>85</v>
      </c>
      <c r="AD30" s="4">
        <v>1.245697E-2</v>
      </c>
      <c r="AE30" s="4">
        <v>0.166544</v>
      </c>
      <c r="AF30" s="4">
        <v>7.4796879999999996E-2</v>
      </c>
      <c r="AG30" s="4">
        <v>3255.6709999999998</v>
      </c>
      <c r="AH30" s="18">
        <v>0.94038089999999996</v>
      </c>
      <c r="AI30" s="12">
        <f t="shared" si="4"/>
        <v>1.0125348812272865</v>
      </c>
      <c r="AJ30" s="10"/>
      <c r="AK30" s="6" t="s">
        <v>85</v>
      </c>
      <c r="AL30" s="14">
        <v>1.2460000000000001E-2</v>
      </c>
      <c r="AM30" s="4">
        <v>0.16650000000000001</v>
      </c>
      <c r="AN30" s="4">
        <v>7.4999999999999997E-2</v>
      </c>
      <c r="AO30" s="4">
        <v>0.94038100000000002</v>
      </c>
      <c r="AP30" s="2">
        <f t="shared" si="5"/>
        <v>1.0125379492126247</v>
      </c>
      <c r="AR30" s="14"/>
      <c r="AS30" s="6" t="s">
        <v>84</v>
      </c>
      <c r="AT30" s="4">
        <v>-0.25435000000000002</v>
      </c>
      <c r="AU30" s="4">
        <v>0.37291999999999997</v>
      </c>
      <c r="AV30" s="4">
        <v>-0.68200000000000005</v>
      </c>
      <c r="AW30" s="4">
        <v>0.49536999999999998</v>
      </c>
      <c r="AX30" s="2">
        <f t="shared" si="6"/>
        <v>0.77542035742134019</v>
      </c>
      <c r="AZ30" s="14"/>
      <c r="BA30" s="6" t="s">
        <v>84</v>
      </c>
      <c r="BB30" s="4">
        <v>-0.1399</v>
      </c>
      <c r="BC30" s="4">
        <v>0.34539999999999998</v>
      </c>
      <c r="BD30" s="4">
        <v>-0.40500000000000003</v>
      </c>
      <c r="BE30" s="4">
        <v>0.68559999999999999</v>
      </c>
      <c r="BF30" s="2">
        <f t="shared" si="7"/>
        <v>0.8694451755692818</v>
      </c>
      <c r="BK30" s="2"/>
      <c r="BL30" s="2"/>
      <c r="BM30" s="2"/>
      <c r="BN30" s="2"/>
      <c r="BO30" s="2"/>
      <c r="BQ30" s="4" t="s">
        <v>71</v>
      </c>
      <c r="BU30" s="2"/>
      <c r="BV30" s="2"/>
      <c r="BW30" s="2"/>
      <c r="BX30" s="2"/>
      <c r="BY30" s="2"/>
    </row>
    <row r="31" spans="5:79" ht="15" customHeight="1" x14ac:dyDescent="0.25">
      <c r="F31" s="15"/>
      <c r="G31" s="12"/>
      <c r="H31" s="4" t="s">
        <v>83</v>
      </c>
      <c r="I31" s="4">
        <v>5.39233E-2</v>
      </c>
      <c r="J31" s="4">
        <v>0.115009424</v>
      </c>
      <c r="K31" s="4">
        <v>0.46885979999999999</v>
      </c>
      <c r="L31" s="2">
        <v>3864.6080000000002</v>
      </c>
      <c r="M31" s="15">
        <v>0.63919630000000005</v>
      </c>
      <c r="N31" s="12">
        <f t="shared" si="1"/>
        <v>1.0554036495906653</v>
      </c>
      <c r="O31" s="4" t="s">
        <v>101</v>
      </c>
      <c r="P31" s="4">
        <v>0.11018757999999999</v>
      </c>
      <c r="Q31" s="4">
        <v>0.1443924</v>
      </c>
      <c r="R31" s="4">
        <v>0.76311187000000003</v>
      </c>
      <c r="S31" s="12">
        <v>3839.61</v>
      </c>
      <c r="T31" s="15">
        <v>0.4454436</v>
      </c>
      <c r="U31" s="12">
        <f t="shared" si="2"/>
        <v>1.1164874815393793</v>
      </c>
      <c r="V31" s="12" t="s">
        <v>85</v>
      </c>
      <c r="W31" s="12">
        <v>3.448056E-2</v>
      </c>
      <c r="X31" s="4">
        <v>0.15511059999999999</v>
      </c>
      <c r="Y31" s="15">
        <v>0.22229656</v>
      </c>
      <c r="Z31" s="12">
        <v>3750.6190000000001</v>
      </c>
      <c r="AA31" s="15">
        <v>0.82409509999999997</v>
      </c>
      <c r="AB31" s="12">
        <f t="shared" si="10"/>
        <v>1.035081906188271</v>
      </c>
      <c r="AC31" s="4" t="s">
        <v>86</v>
      </c>
      <c r="AD31" s="4">
        <v>-0.11822887</v>
      </c>
      <c r="AE31" s="4">
        <v>0.16867599999999999</v>
      </c>
      <c r="AF31" s="4">
        <v>-0.70092303</v>
      </c>
      <c r="AG31" s="4">
        <v>3255.6709999999998</v>
      </c>
      <c r="AH31" s="18">
        <v>0.48340109999999997</v>
      </c>
      <c r="AI31" s="12">
        <f t="shared" si="4"/>
        <v>0.88849268002288573</v>
      </c>
      <c r="AJ31" s="10"/>
      <c r="AK31" s="6" t="s">
        <v>86</v>
      </c>
      <c r="AL31" s="14">
        <v>-0.1182</v>
      </c>
      <c r="AM31" s="4">
        <v>0.16869999999999999</v>
      </c>
      <c r="AN31" s="4">
        <v>-0.70099999999999996</v>
      </c>
      <c r="AO31" s="4">
        <v>0.48340100000000003</v>
      </c>
      <c r="AP31" s="2">
        <f t="shared" si="5"/>
        <v>0.88851833117683066</v>
      </c>
      <c r="AR31" s="14"/>
      <c r="AS31" s="6" t="s">
        <v>85</v>
      </c>
      <c r="AT31" s="4">
        <v>-0.19772999999999999</v>
      </c>
      <c r="AU31" s="4">
        <v>0.31281999999999999</v>
      </c>
      <c r="AV31" s="4">
        <v>-0.63200000000000001</v>
      </c>
      <c r="AW31" s="4">
        <v>0.52747999999999995</v>
      </c>
      <c r="AX31" s="2">
        <f t="shared" si="6"/>
        <v>0.82059138290335076</v>
      </c>
      <c r="AZ31" s="14"/>
      <c r="BA31" s="6" t="s">
        <v>85</v>
      </c>
      <c r="BB31" s="4">
        <v>-0.24640000000000001</v>
      </c>
      <c r="BC31" s="4">
        <v>0.31540000000000001</v>
      </c>
      <c r="BD31" s="4">
        <v>-0.78100000000000003</v>
      </c>
      <c r="BE31" s="4">
        <v>0.43490000000000001</v>
      </c>
      <c r="BF31" s="2">
        <f t="shared" si="7"/>
        <v>0.78160951858094541</v>
      </c>
      <c r="BK31" s="2"/>
      <c r="BL31" s="2"/>
      <c r="BM31" s="2"/>
      <c r="BN31" s="2"/>
      <c r="BO31" s="2"/>
      <c r="BU31" s="2"/>
      <c r="BV31" s="2"/>
      <c r="BW31" s="2"/>
      <c r="BX31" s="2"/>
      <c r="BY31" s="2"/>
    </row>
    <row r="32" spans="5:79" ht="15" customHeight="1" x14ac:dyDescent="0.25">
      <c r="F32" s="15"/>
      <c r="G32" s="12"/>
      <c r="H32" s="4" t="s">
        <v>84</v>
      </c>
      <c r="I32" s="4">
        <v>-0.14795728</v>
      </c>
      <c r="J32" s="4">
        <v>0.17078341499999999</v>
      </c>
      <c r="K32" s="4">
        <v>-0.86634449999999996</v>
      </c>
      <c r="L32" s="2">
        <v>3864.6080000000002</v>
      </c>
      <c r="M32" s="15">
        <v>0.386355</v>
      </c>
      <c r="N32" s="12">
        <f t="shared" si="1"/>
        <v>0.86246795878625471</v>
      </c>
      <c r="O32" s="4" t="s">
        <v>80</v>
      </c>
      <c r="P32" s="4">
        <v>-9.9528069999999996E-2</v>
      </c>
      <c r="Q32" s="4">
        <v>0.19474959999999999</v>
      </c>
      <c r="R32" s="4">
        <v>-0.51105657000000004</v>
      </c>
      <c r="S32" s="12">
        <v>3839.61</v>
      </c>
      <c r="T32" s="15">
        <v>0.60934080000000002</v>
      </c>
      <c r="U32" s="12">
        <f t="shared" si="2"/>
        <v>0.905264538736262</v>
      </c>
      <c r="V32" s="12" t="s">
        <v>86</v>
      </c>
      <c r="W32" s="12">
        <v>-7.0498560000000002E-2</v>
      </c>
      <c r="X32" s="4">
        <v>0.15811069999999999</v>
      </c>
      <c r="Y32" s="15">
        <v>-0.44588095</v>
      </c>
      <c r="Z32" s="12">
        <v>3750.6190000000001</v>
      </c>
      <c r="AA32" s="15">
        <v>0.65570899999999999</v>
      </c>
      <c r="AB32" s="12">
        <f t="shared" si="10"/>
        <v>0.93192908150271148</v>
      </c>
      <c r="AC32" s="4" t="s">
        <v>81</v>
      </c>
      <c r="AD32" s="4">
        <v>-0.21647045000000001</v>
      </c>
      <c r="AE32" s="4">
        <v>0.21466460000000001</v>
      </c>
      <c r="AF32" s="4">
        <v>-1.0084125500000001</v>
      </c>
      <c r="AG32" s="4">
        <v>3255.6709999999998</v>
      </c>
      <c r="AH32" s="18">
        <v>0.31333139999999998</v>
      </c>
      <c r="AI32" s="12">
        <f t="shared" si="4"/>
        <v>0.80535633285069119</v>
      </c>
      <c r="AJ32" s="10"/>
      <c r="AK32" s="6" t="s">
        <v>81</v>
      </c>
      <c r="AL32" s="14">
        <v>-0.2165</v>
      </c>
      <c r="AM32" s="4">
        <v>0.2147</v>
      </c>
      <c r="AN32" s="4">
        <v>-1.008</v>
      </c>
      <c r="AO32" s="4">
        <v>0.31333100000000003</v>
      </c>
      <c r="AP32" s="2">
        <f t="shared" si="5"/>
        <v>0.80533253492267165</v>
      </c>
      <c r="AR32" s="14"/>
      <c r="AS32" s="6" t="s">
        <v>86</v>
      </c>
      <c r="AT32" s="4">
        <v>-3.6130000000000002E-2</v>
      </c>
      <c r="AU32" s="4">
        <v>0.31089</v>
      </c>
      <c r="AV32" s="4">
        <v>-0.11600000000000001</v>
      </c>
      <c r="AW32" s="4">
        <v>0.90751000000000004</v>
      </c>
      <c r="AX32" s="2">
        <f t="shared" si="6"/>
        <v>0.96451489839582749</v>
      </c>
      <c r="AZ32" s="14"/>
      <c r="BA32" s="6" t="s">
        <v>86</v>
      </c>
      <c r="BB32" s="4">
        <v>-0.4602</v>
      </c>
      <c r="BC32" s="4">
        <v>0.30330000000000001</v>
      </c>
      <c r="BD32" s="4">
        <v>-1.5169999999999999</v>
      </c>
      <c r="BE32" s="4">
        <v>0.1295</v>
      </c>
      <c r="BF32" s="2">
        <f t="shared" si="7"/>
        <v>0.63115740140265586</v>
      </c>
      <c r="BK32" s="2"/>
      <c r="BL32" s="2"/>
      <c r="BM32" s="2"/>
      <c r="BN32" s="2"/>
      <c r="BO32" s="2"/>
      <c r="BU32" s="6"/>
    </row>
    <row r="33" spans="6:79" ht="15" customHeight="1" x14ac:dyDescent="0.25">
      <c r="F33" s="15"/>
      <c r="G33" s="12"/>
      <c r="H33" s="4" t="s">
        <v>85</v>
      </c>
      <c r="I33" s="4">
        <v>-9.742924E-2</v>
      </c>
      <c r="J33" s="4">
        <v>0.124750421</v>
      </c>
      <c r="K33" s="4">
        <v>-0.78099320000000005</v>
      </c>
      <c r="L33" s="2">
        <v>3864.6080000000002</v>
      </c>
      <c r="M33" s="15">
        <v>0.43485430000000003</v>
      </c>
      <c r="N33" s="12">
        <f t="shared" si="1"/>
        <v>0.90716653038846429</v>
      </c>
      <c r="O33" s="4" t="s">
        <v>102</v>
      </c>
      <c r="P33" s="4">
        <v>-3.81178E-2</v>
      </c>
      <c r="Q33" s="4">
        <v>0.15231449999999999</v>
      </c>
      <c r="R33" s="4">
        <v>-0.25025716999999997</v>
      </c>
      <c r="S33" s="12">
        <v>3839.61</v>
      </c>
      <c r="T33" s="15">
        <v>0.8024019</v>
      </c>
      <c r="U33" s="12">
        <f t="shared" si="2"/>
        <v>0.96259953998620695</v>
      </c>
      <c r="V33" s="12" t="s">
        <v>81</v>
      </c>
      <c r="W33" s="12">
        <v>-0.14056669999999999</v>
      </c>
      <c r="X33" s="4">
        <v>0.1928426</v>
      </c>
      <c r="Y33" s="15">
        <v>-0.72891969000000001</v>
      </c>
      <c r="Z33" s="12">
        <v>3750.6190000000001</v>
      </c>
      <c r="AA33" s="15">
        <v>0.46609630000000002</v>
      </c>
      <c r="AB33" s="12">
        <f t="shared" si="10"/>
        <v>0.86886570965715537</v>
      </c>
      <c r="AC33" s="4" t="s">
        <v>19</v>
      </c>
      <c r="AD33" s="4">
        <v>0.10734063000000001</v>
      </c>
      <c r="AE33" s="4">
        <v>0.13060050000000001</v>
      </c>
      <c r="AF33" s="4">
        <v>0.82190063999999996</v>
      </c>
      <c r="AG33" s="4">
        <v>3255.6709999999998</v>
      </c>
      <c r="AH33" s="18">
        <v>0.41119359999999999</v>
      </c>
      <c r="AI33" s="12">
        <f t="shared" si="4"/>
        <v>1.1133134178479718</v>
      </c>
      <c r="AJ33" s="10"/>
      <c r="AK33" s="6" t="s">
        <v>19</v>
      </c>
      <c r="AL33" s="14">
        <v>0.10730000000000001</v>
      </c>
      <c r="AM33" s="4">
        <v>0.13059999999999999</v>
      </c>
      <c r="AN33" s="4">
        <v>0.82199999999999995</v>
      </c>
      <c r="AO33" s="4">
        <v>0.411194</v>
      </c>
      <c r="AP33" s="2">
        <f t="shared" si="5"/>
        <v>1.1132681848427195</v>
      </c>
      <c r="AR33" s="14"/>
      <c r="AS33" s="6" t="s">
        <v>81</v>
      </c>
      <c r="AT33" s="4">
        <v>-0.65761999999999998</v>
      </c>
      <c r="AU33" s="4">
        <v>0.371</v>
      </c>
      <c r="AV33" s="4">
        <v>-1.7729999999999999</v>
      </c>
      <c r="AW33" s="4">
        <v>7.6630000000000004E-2</v>
      </c>
      <c r="AX33" s="2">
        <f t="shared" si="6"/>
        <v>0.51808290565613258</v>
      </c>
      <c r="AZ33" s="14"/>
      <c r="BA33" s="6" t="s">
        <v>81</v>
      </c>
      <c r="BB33" s="4">
        <v>-0.45100000000000001</v>
      </c>
      <c r="BC33" s="4">
        <v>0.36659999999999998</v>
      </c>
      <c r="BD33" s="4">
        <v>-1.23</v>
      </c>
      <c r="BE33" s="4">
        <v>0.21890000000000001</v>
      </c>
      <c r="BF33" s="2">
        <f t="shared" si="7"/>
        <v>0.63699084217798252</v>
      </c>
      <c r="BG33" s="2" t="s">
        <v>72</v>
      </c>
      <c r="BK33" s="6"/>
      <c r="BQ33" s="4" t="s">
        <v>72</v>
      </c>
      <c r="BU33" s="6" t="s">
        <v>19</v>
      </c>
      <c r="BV33" s="4">
        <v>0.20880000000000001</v>
      </c>
      <c r="BW33" s="4">
        <v>0.26029999999999998</v>
      </c>
      <c r="BX33" s="4">
        <v>0.80200000000000005</v>
      </c>
      <c r="BY33" s="4">
        <v>0.422707</v>
      </c>
      <c r="BZ33" s="2">
        <f t="shared" si="9"/>
        <v>1.2321985341778057</v>
      </c>
    </row>
    <row r="34" spans="6:79" ht="15" customHeight="1" x14ac:dyDescent="0.25">
      <c r="F34" s="15"/>
      <c r="G34" s="12"/>
      <c r="H34" s="4" t="s">
        <v>86</v>
      </c>
      <c r="I34" s="4">
        <v>-0.15359912000000001</v>
      </c>
      <c r="J34" s="4">
        <v>0.12752912499999999</v>
      </c>
      <c r="K34" s="4">
        <v>-1.2044239000000001</v>
      </c>
      <c r="L34" s="2">
        <v>3864.6080000000002</v>
      </c>
      <c r="M34" s="15">
        <v>0.22849949999999999</v>
      </c>
      <c r="N34" s="12">
        <f t="shared" si="1"/>
        <v>0.85761575311229954</v>
      </c>
      <c r="O34" s="4" t="s">
        <v>103</v>
      </c>
      <c r="P34" s="4">
        <v>-0.10568849</v>
      </c>
      <c r="Q34" s="4">
        <v>0.15514929999999999</v>
      </c>
      <c r="R34" s="4">
        <v>-0.68120491000000005</v>
      </c>
      <c r="S34" s="12">
        <v>3839.61</v>
      </c>
      <c r="T34" s="15">
        <v>0.49578290000000003</v>
      </c>
      <c r="U34" s="12">
        <f t="shared" si="2"/>
        <v>0.89970487149197831</v>
      </c>
      <c r="V34" s="12" t="s">
        <v>19</v>
      </c>
      <c r="W34" s="12">
        <v>0.1220106</v>
      </c>
      <c r="X34" s="4">
        <v>0.1188543</v>
      </c>
      <c r="Y34" s="15">
        <v>1.0265557300000001</v>
      </c>
      <c r="Z34" s="12">
        <v>3750.6190000000001</v>
      </c>
      <c r="AA34" s="15">
        <v>0.30469590000000002</v>
      </c>
      <c r="AB34" s="12">
        <f t="shared" si="10"/>
        <v>1.1297660772372673</v>
      </c>
      <c r="AC34" s="4" t="s">
        <v>20</v>
      </c>
      <c r="AD34" s="4">
        <v>0.24667509000000001</v>
      </c>
      <c r="AE34" s="4">
        <v>0.1174726</v>
      </c>
      <c r="AF34" s="4">
        <v>2.0998520799999998</v>
      </c>
      <c r="AG34" s="4">
        <v>3255.6709999999998</v>
      </c>
      <c r="AH34" s="18">
        <v>3.5818620000000002E-2</v>
      </c>
      <c r="AI34" s="12">
        <f t="shared" si="4"/>
        <v>1.2797632373474388</v>
      </c>
      <c r="AJ34" s="10"/>
      <c r="AK34" s="6" t="s">
        <v>20</v>
      </c>
      <c r="AL34" s="14">
        <v>0.2467</v>
      </c>
      <c r="AM34" s="4">
        <v>0.11749999999999999</v>
      </c>
      <c r="AN34" s="4">
        <v>2.1</v>
      </c>
      <c r="AO34" s="4">
        <v>3.5818999999999997E-2</v>
      </c>
      <c r="AP34" s="2">
        <f t="shared" si="5"/>
        <v>1.2797951166467363</v>
      </c>
      <c r="AR34" s="14"/>
      <c r="AS34" s="6"/>
      <c r="AZ34" s="14"/>
      <c r="BA34" s="6"/>
      <c r="BK34" s="6" t="s">
        <v>19</v>
      </c>
      <c r="BL34" s="4">
        <v>-7.2800000000000004E-2</v>
      </c>
      <c r="BM34" s="4">
        <v>0.24440000000000001</v>
      </c>
      <c r="BN34" s="4">
        <v>-0.29799999999999999</v>
      </c>
      <c r="BO34" s="4">
        <v>0.76585999999999999</v>
      </c>
      <c r="BP34" s="2">
        <f>EXP(BL34)</f>
        <v>0.92978676878505395</v>
      </c>
      <c r="BU34" s="6" t="s">
        <v>20</v>
      </c>
      <c r="BV34" s="4">
        <v>0.4864</v>
      </c>
      <c r="BW34" s="4">
        <v>0.23469999999999999</v>
      </c>
      <c r="BX34" s="4">
        <v>2.0720000000000001</v>
      </c>
      <c r="BY34" s="4">
        <v>3.8497999999999998E-2</v>
      </c>
      <c r="BZ34" s="2">
        <f t="shared" si="9"/>
        <v>1.6264504462911693</v>
      </c>
    </row>
    <row r="35" spans="6:79" ht="15" customHeight="1" x14ac:dyDescent="0.25">
      <c r="F35" s="15"/>
      <c r="G35" s="12"/>
      <c r="H35" s="4" t="s">
        <v>81</v>
      </c>
      <c r="I35" s="4">
        <v>-0.11943808</v>
      </c>
      <c r="J35" s="4">
        <v>0.1717649</v>
      </c>
      <c r="K35" s="4">
        <v>-0.69535789999999997</v>
      </c>
      <c r="L35" s="2">
        <v>3864.6080000000002</v>
      </c>
      <c r="M35" s="15">
        <v>0.48687279999999999</v>
      </c>
      <c r="N35" s="12">
        <f t="shared" si="1"/>
        <v>0.88741895509956492</v>
      </c>
      <c r="O35" s="4" t="s">
        <v>104</v>
      </c>
      <c r="P35" s="4">
        <v>-7.3729000000000003E-2</v>
      </c>
      <c r="Q35" s="4">
        <v>0.19126080000000001</v>
      </c>
      <c r="R35" s="4">
        <v>-0.38548926</v>
      </c>
      <c r="S35" s="12">
        <v>3839.61</v>
      </c>
      <c r="T35" s="15">
        <v>0.69989630000000003</v>
      </c>
      <c r="U35" s="12">
        <f t="shared" si="2"/>
        <v>0.92892339797468781</v>
      </c>
      <c r="V35" s="12" t="s">
        <v>20</v>
      </c>
      <c r="W35" s="12">
        <v>0.31091770000000002</v>
      </c>
      <c r="X35" s="4">
        <v>0.1067361</v>
      </c>
      <c r="Y35" s="15">
        <v>2.9129581500000001</v>
      </c>
      <c r="Z35" s="12">
        <v>3750.6190000000001</v>
      </c>
      <c r="AA35" s="15">
        <v>3.6013730000000002E-3</v>
      </c>
      <c r="AB35" s="12">
        <f t="shared" si="10"/>
        <v>1.3646769036551876</v>
      </c>
      <c r="AC35" s="4" t="s">
        <v>21</v>
      </c>
      <c r="AD35" s="4">
        <v>0.13330209000000001</v>
      </c>
      <c r="AE35" s="4">
        <v>0.1129247</v>
      </c>
      <c r="AF35" s="4">
        <v>1.1804512700000001</v>
      </c>
      <c r="AG35" s="4">
        <v>3255.6709999999998</v>
      </c>
      <c r="AH35" s="18">
        <v>0.23790700000000001</v>
      </c>
      <c r="AI35" s="12">
        <f t="shared" si="4"/>
        <v>1.1425951127580742</v>
      </c>
      <c r="AJ35" s="10"/>
      <c r="AK35" s="6" t="s">
        <v>21</v>
      </c>
      <c r="AL35" s="14">
        <v>0.1333</v>
      </c>
      <c r="AM35" s="4">
        <v>0.1129</v>
      </c>
      <c r="AN35" s="4">
        <v>1.18</v>
      </c>
      <c r="AO35" s="4">
        <v>0.23790700000000001</v>
      </c>
      <c r="AP35" s="2">
        <f t="shared" si="5"/>
        <v>1.142592724736784</v>
      </c>
      <c r="AR35" s="14"/>
      <c r="AS35" s="6" t="s">
        <v>19</v>
      </c>
      <c r="AT35" s="4">
        <v>0.47343000000000002</v>
      </c>
      <c r="AU35" s="4">
        <v>0.26190000000000002</v>
      </c>
      <c r="AV35" s="4">
        <v>1.8080000000000001</v>
      </c>
      <c r="AW35" s="4">
        <v>7.0970000000000005E-2</v>
      </c>
      <c r="AX35" s="2">
        <f t="shared" si="6"/>
        <v>1.6054915959560943</v>
      </c>
      <c r="AZ35" s="14"/>
      <c r="BA35" s="6" t="s">
        <v>19</v>
      </c>
      <c r="BB35" s="4">
        <v>-0.24310000000000001</v>
      </c>
      <c r="BC35" s="4">
        <v>0.2505</v>
      </c>
      <c r="BD35" s="4">
        <v>-0.97</v>
      </c>
      <c r="BE35" s="4">
        <v>0.33210000000000001</v>
      </c>
      <c r="BF35" s="2">
        <f t="shared" si="7"/>
        <v>0.78419309054140618</v>
      </c>
      <c r="BK35" s="6" t="s">
        <v>20</v>
      </c>
      <c r="BL35" s="4">
        <v>0.25290000000000001</v>
      </c>
      <c r="BM35" s="4">
        <v>0.217</v>
      </c>
      <c r="BN35" s="4">
        <v>1.1659999999999999</v>
      </c>
      <c r="BO35" s="4">
        <v>0.24403</v>
      </c>
      <c r="BP35" s="2">
        <f>EXP(BL35)</f>
        <v>1.2877544949461486</v>
      </c>
      <c r="BQ35" s="4" t="s">
        <v>72</v>
      </c>
      <c r="BU35" s="6" t="s">
        <v>21</v>
      </c>
      <c r="BV35" s="4">
        <v>0.2366</v>
      </c>
      <c r="BW35" s="4">
        <v>0.23549999999999999</v>
      </c>
      <c r="BX35" s="4">
        <v>1.0049999999999999</v>
      </c>
      <c r="BY35" s="4">
        <v>0.315326</v>
      </c>
      <c r="BZ35" s="2">
        <f t="shared" si="9"/>
        <v>1.266934242709945</v>
      </c>
      <c r="CA35" s="4" t="s">
        <v>68</v>
      </c>
    </row>
    <row r="36" spans="6:79" ht="15" customHeight="1" x14ac:dyDescent="0.25">
      <c r="F36" s="15"/>
      <c r="G36" s="12"/>
      <c r="L36" s="2"/>
      <c r="M36" s="15"/>
      <c r="N36" s="12"/>
      <c r="S36" s="12"/>
      <c r="T36" s="15"/>
      <c r="U36" s="12"/>
      <c r="V36" s="12" t="s">
        <v>21</v>
      </c>
      <c r="W36" s="12">
        <v>0.21105450000000001</v>
      </c>
      <c r="X36" s="4">
        <v>0.1044332</v>
      </c>
      <c r="Y36" s="15">
        <v>2.02095241</v>
      </c>
      <c r="Z36" s="12">
        <v>3750.6190000000001</v>
      </c>
      <c r="AA36" s="15">
        <v>4.3355610000000003E-2</v>
      </c>
      <c r="AB36" s="12">
        <f t="shared" si="10"/>
        <v>1.2349796596187779</v>
      </c>
      <c r="AC36" s="4" t="s">
        <v>22</v>
      </c>
      <c r="AD36" s="4">
        <v>1.9836260000000001E-2</v>
      </c>
      <c r="AE36" s="4">
        <v>6.5535250000000003E-2</v>
      </c>
      <c r="AF36" s="4">
        <v>0.30268082000000002</v>
      </c>
      <c r="AG36" s="4">
        <v>3255.6709999999998</v>
      </c>
      <c r="AH36" s="18">
        <v>0.76215250000000001</v>
      </c>
      <c r="AI36" s="12">
        <f t="shared" si="4"/>
        <v>1.020034305934794</v>
      </c>
      <c r="AJ36" s="10"/>
      <c r="AK36" s="6" t="s">
        <v>22</v>
      </c>
      <c r="AL36" s="14">
        <v>1.984E-2</v>
      </c>
      <c r="AM36" s="4">
        <v>6.5530000000000005E-2</v>
      </c>
      <c r="AN36" s="4">
        <v>0.30299999999999999</v>
      </c>
      <c r="AO36" s="4">
        <v>0.76215200000000005</v>
      </c>
      <c r="AP36" s="2">
        <f t="shared" si="5"/>
        <v>1.0200381208702323</v>
      </c>
      <c r="AR36" s="14"/>
      <c r="AS36" s="6" t="s">
        <v>20</v>
      </c>
      <c r="AT36" s="4">
        <v>0.28594000000000003</v>
      </c>
      <c r="AU36" s="4">
        <v>0.22214</v>
      </c>
      <c r="AV36" s="4">
        <v>1.2869999999999999</v>
      </c>
      <c r="AW36" s="4">
        <v>0.19833000000000001</v>
      </c>
      <c r="AX36" s="2">
        <f t="shared" si="6"/>
        <v>1.3310125921008951</v>
      </c>
      <c r="AZ36" s="14"/>
      <c r="BA36" s="6" t="s">
        <v>20</v>
      </c>
      <c r="BB36" s="4">
        <v>-0.1913</v>
      </c>
      <c r="BC36" s="4">
        <v>0.27100000000000002</v>
      </c>
      <c r="BD36" s="4">
        <v>-0.70599999999999996</v>
      </c>
      <c r="BE36" s="4">
        <v>0.48039999999999999</v>
      </c>
      <c r="BF36" s="2">
        <f t="shared" si="7"/>
        <v>0.82588478554699762</v>
      </c>
      <c r="BK36" s="6" t="s">
        <v>21</v>
      </c>
      <c r="BL36" s="4">
        <v>0.11559999999999999</v>
      </c>
      <c r="BM36" s="4">
        <v>0.2137</v>
      </c>
      <c r="BN36" s="4">
        <v>0.54100000000000004</v>
      </c>
      <c r="BO36" s="4">
        <v>0.58870999999999996</v>
      </c>
      <c r="BP36" s="2">
        <f>EXP(BL36)</f>
        <v>1.1225467636120938</v>
      </c>
      <c r="BQ36" s="4" t="s">
        <v>68</v>
      </c>
      <c r="BU36" s="6"/>
    </row>
    <row r="37" spans="6:79" ht="15" customHeight="1" x14ac:dyDescent="0.25">
      <c r="F37" s="15"/>
      <c r="G37" s="12"/>
      <c r="L37" s="2"/>
      <c r="M37" s="15"/>
      <c r="N37" s="12"/>
      <c r="O37" s="4" t="s">
        <v>19</v>
      </c>
      <c r="P37" s="4">
        <v>0.12921909000000001</v>
      </c>
      <c r="Q37" s="4">
        <v>0.11767900000000001</v>
      </c>
      <c r="R37" s="4">
        <v>1.09806431</v>
      </c>
      <c r="S37" s="12">
        <v>3839.61</v>
      </c>
      <c r="T37" s="15">
        <v>0.27224530000000002</v>
      </c>
      <c r="U37" s="12">
        <f t="shared" si="2"/>
        <v>1.1379394080018357</v>
      </c>
      <c r="V37" s="12" t="s">
        <v>22</v>
      </c>
      <c r="W37" s="12">
        <v>3.7095040000000003E-2</v>
      </c>
      <c r="X37" s="4">
        <v>6.0909869999999998E-2</v>
      </c>
      <c r="Y37" s="15">
        <v>0.60901525000000001</v>
      </c>
      <c r="Z37" s="12">
        <v>3750.6190000000001</v>
      </c>
      <c r="AA37" s="15">
        <v>0.54255120000000001</v>
      </c>
      <c r="AB37" s="12">
        <f t="shared" si="10"/>
        <v>1.0377916478695399</v>
      </c>
      <c r="AC37" s="4" t="s">
        <v>23</v>
      </c>
      <c r="AD37" s="4">
        <v>2.1416379999999999E-2</v>
      </c>
      <c r="AE37" s="4">
        <v>1.2036E-2</v>
      </c>
      <c r="AF37" s="4">
        <v>1.77936016</v>
      </c>
      <c r="AG37" s="4">
        <v>3255.6709999999998</v>
      </c>
      <c r="AH37" s="18">
        <v>7.5273999999999994E-2</v>
      </c>
      <c r="AI37" s="12">
        <f t="shared" si="4"/>
        <v>1.0216473566134878</v>
      </c>
      <c r="AJ37" s="10"/>
      <c r="AK37" s="6" t="s">
        <v>23</v>
      </c>
      <c r="AL37" s="14">
        <v>2.1420000000000002E-2</v>
      </c>
      <c r="AM37" s="4">
        <v>1.204E-2</v>
      </c>
      <c r="AN37" s="4">
        <v>1.7789999999999999</v>
      </c>
      <c r="AO37" s="4">
        <v>7.5273999999999994E-2</v>
      </c>
      <c r="AP37" s="2">
        <f t="shared" si="5"/>
        <v>1.0216510549836126</v>
      </c>
      <c r="AR37" s="14"/>
      <c r="AS37" s="6" t="s">
        <v>21</v>
      </c>
      <c r="AT37" s="4">
        <v>6.6610000000000003E-2</v>
      </c>
      <c r="AU37" s="4">
        <v>0.23322999999999999</v>
      </c>
      <c r="AV37" s="4">
        <v>0.28599999999999998</v>
      </c>
      <c r="AW37" s="4">
        <v>0.77522999999999997</v>
      </c>
      <c r="AX37" s="2">
        <f t="shared" si="6"/>
        <v>1.0688785342474627</v>
      </c>
      <c r="AZ37" s="14"/>
      <c r="BA37" s="6" t="s">
        <v>21</v>
      </c>
      <c r="BB37" s="4">
        <v>-0.47299999999999998</v>
      </c>
      <c r="BC37" s="4">
        <v>0.20030000000000001</v>
      </c>
      <c r="BD37" s="4">
        <v>-2.3610000000000002</v>
      </c>
      <c r="BE37" s="4">
        <v>1.84E-2</v>
      </c>
      <c r="BF37" s="2">
        <f t="shared" si="7"/>
        <v>0.62313007117765784</v>
      </c>
      <c r="BG37" s="2" t="s">
        <v>72</v>
      </c>
      <c r="BK37" s="6"/>
      <c r="BU37" s="6" t="s">
        <v>23</v>
      </c>
      <c r="BV37" s="4">
        <v>1.626E-2</v>
      </c>
      <c r="BW37" s="4">
        <v>2.249E-2</v>
      </c>
      <c r="BX37" s="4">
        <v>0.72299999999999998</v>
      </c>
      <c r="BY37" s="4">
        <v>0.46996900000000003</v>
      </c>
      <c r="BZ37" s="2">
        <f t="shared" si="9"/>
        <v>1.0163929132124268</v>
      </c>
    </row>
    <row r="38" spans="6:79" ht="15" customHeight="1" x14ac:dyDescent="0.25">
      <c r="F38" s="15"/>
      <c r="G38" s="12"/>
      <c r="L38" s="2"/>
      <c r="M38" s="15"/>
      <c r="N38" s="12"/>
      <c r="O38" s="4" t="s">
        <v>20</v>
      </c>
      <c r="P38" s="4">
        <v>0.30727515</v>
      </c>
      <c r="Q38" s="4">
        <v>0.10548970000000001</v>
      </c>
      <c r="R38" s="4">
        <v>2.9128452899999999</v>
      </c>
      <c r="S38" s="12">
        <v>3839.61</v>
      </c>
      <c r="T38" s="15">
        <v>3.6021809999999999E-3</v>
      </c>
      <c r="U38" s="12">
        <f t="shared" si="2"/>
        <v>1.3597150422002338</v>
      </c>
      <c r="V38" s="12" t="s">
        <v>23</v>
      </c>
      <c r="W38" s="12">
        <v>2.267489E-2</v>
      </c>
      <c r="X38" s="4">
        <v>1.072798E-2</v>
      </c>
      <c r="Y38" s="15">
        <v>2.1136211399999998</v>
      </c>
      <c r="Z38" s="12">
        <v>3750.6190000000001</v>
      </c>
      <c r="AA38" s="15">
        <v>3.4613489999999997E-2</v>
      </c>
      <c r="AB38" s="12">
        <f t="shared" si="10"/>
        <v>1.0229339194345375</v>
      </c>
      <c r="AI38" s="12"/>
      <c r="AJ38" s="10"/>
      <c r="AK38" s="6"/>
      <c r="AL38" s="14"/>
      <c r="AR38" s="14"/>
      <c r="AS38" s="6"/>
      <c r="AZ38" s="14"/>
      <c r="BA38" s="6"/>
      <c r="BK38" s="6" t="s">
        <v>23</v>
      </c>
      <c r="BL38" s="4">
        <v>2.4649999999999998E-2</v>
      </c>
      <c r="BM38" s="4">
        <v>2.112E-2</v>
      </c>
      <c r="BN38" s="4">
        <v>1.167</v>
      </c>
      <c r="BO38" s="4">
        <v>0.24345</v>
      </c>
      <c r="BP38" s="2">
        <f>EXP(BL38)</f>
        <v>1.0249563230254704</v>
      </c>
      <c r="BU38" s="6"/>
    </row>
    <row r="39" spans="6:79" ht="15" customHeight="1" x14ac:dyDescent="0.25">
      <c r="F39" s="15"/>
      <c r="G39" s="12"/>
      <c r="L39" s="2"/>
      <c r="M39" s="15"/>
      <c r="N39" s="12"/>
      <c r="O39" s="4" t="s">
        <v>21</v>
      </c>
      <c r="P39" s="4">
        <v>0.18177367</v>
      </c>
      <c r="Q39" s="4">
        <v>0.1031444</v>
      </c>
      <c r="R39" s="4">
        <v>1.7623225300000001</v>
      </c>
      <c r="S39" s="12">
        <v>3839.61</v>
      </c>
      <c r="T39" s="15">
        <v>7.8094369999999996E-2</v>
      </c>
      <c r="U39" s="12">
        <f t="shared" si="2"/>
        <v>1.1993427159223293</v>
      </c>
      <c r="V39" s="12"/>
      <c r="W39" s="12"/>
      <c r="Y39" s="15"/>
      <c r="Z39" s="12"/>
      <c r="AA39" s="15"/>
      <c r="AB39" s="12"/>
      <c r="AC39" s="4" t="s">
        <v>30</v>
      </c>
      <c r="AD39" s="4">
        <v>0.1014558</v>
      </c>
      <c r="AE39" s="4">
        <v>0.1210851</v>
      </c>
      <c r="AF39" s="4">
        <v>0.83788810999999996</v>
      </c>
      <c r="AG39" s="4">
        <v>3255.6709999999998</v>
      </c>
      <c r="AH39" s="18">
        <v>0.40215509999999999</v>
      </c>
      <c r="AI39" s="12">
        <f t="shared" si="4"/>
        <v>1.1067809975907006</v>
      </c>
      <c r="AJ39" s="10"/>
      <c r="AK39" s="6" t="s">
        <v>30</v>
      </c>
      <c r="AL39" s="14">
        <v>0.10150000000000001</v>
      </c>
      <c r="AM39" s="4">
        <v>0.1211</v>
      </c>
      <c r="AN39" s="4">
        <v>0.83799999999999997</v>
      </c>
      <c r="AO39" s="4">
        <v>0.40215499999999998</v>
      </c>
      <c r="AP39" s="2">
        <f t="shared" si="5"/>
        <v>1.1068299183919357</v>
      </c>
      <c r="AR39" s="14"/>
      <c r="AS39" s="6" t="s">
        <v>23</v>
      </c>
      <c r="AT39" s="4">
        <v>2.7570000000000001E-2</v>
      </c>
      <c r="AU39" s="4">
        <v>2.452E-2</v>
      </c>
      <c r="AV39" s="4">
        <v>1.1240000000000001</v>
      </c>
      <c r="AW39" s="4">
        <v>0.26116</v>
      </c>
      <c r="AX39" s="2">
        <f t="shared" si="6"/>
        <v>1.027953569338679</v>
      </c>
      <c r="AZ39" s="14"/>
      <c r="BA39" s="6" t="s">
        <v>23</v>
      </c>
      <c r="BB39" s="4">
        <v>3.0339999999999999E-2</v>
      </c>
      <c r="BC39" s="4">
        <v>2.3890000000000002E-2</v>
      </c>
      <c r="BD39" s="4">
        <v>1.27</v>
      </c>
      <c r="BE39" s="4">
        <v>0.2044</v>
      </c>
      <c r="BF39" s="2">
        <f t="shared" si="7"/>
        <v>1.0308049480620838</v>
      </c>
      <c r="BK39" s="6"/>
      <c r="BU39" s="6" t="s">
        <v>30</v>
      </c>
      <c r="BV39" s="4">
        <v>4.2570000000000004E-3</v>
      </c>
      <c r="BW39" s="4">
        <v>0.24460000000000001</v>
      </c>
      <c r="BX39" s="4">
        <v>1.7000000000000001E-2</v>
      </c>
      <c r="BY39" s="4">
        <v>0.98611800000000005</v>
      </c>
      <c r="BZ39" s="2">
        <f t="shared" si="9"/>
        <v>1.0042660738957891</v>
      </c>
    </row>
    <row r="40" spans="6:79" ht="15" customHeight="1" x14ac:dyDescent="0.25">
      <c r="F40" s="15"/>
      <c r="G40" s="12"/>
      <c r="L40" s="2"/>
      <c r="M40" s="15"/>
      <c r="N40" s="12"/>
      <c r="O40" s="4" t="s">
        <v>22</v>
      </c>
      <c r="P40" s="4">
        <v>1.8283230000000001E-2</v>
      </c>
      <c r="Q40" s="4">
        <v>6.0248389999999999E-2</v>
      </c>
      <c r="R40" s="4">
        <v>0.30346413</v>
      </c>
      <c r="S40" s="12">
        <v>3839.61</v>
      </c>
      <c r="T40" s="15">
        <v>0.76155260000000002</v>
      </c>
      <c r="U40" s="12">
        <f t="shared" si="2"/>
        <v>1.0184513915315789</v>
      </c>
      <c r="V40" s="12" t="s">
        <v>30</v>
      </c>
      <c r="W40" s="12">
        <v>0.1656397</v>
      </c>
      <c r="X40" s="4">
        <v>9.8030580000000006E-2</v>
      </c>
      <c r="Y40" s="15">
        <v>1.6896737799999999</v>
      </c>
      <c r="Z40" s="12">
        <v>3750.6190000000001</v>
      </c>
      <c r="AA40" s="15">
        <v>9.1173489999999996E-2</v>
      </c>
      <c r="AB40" s="12">
        <f>EXP(W40)</f>
        <v>1.1801478178542149</v>
      </c>
      <c r="AC40" s="4" t="s">
        <v>31</v>
      </c>
      <c r="AD40" s="4">
        <v>-3.4463800000000003E-2</v>
      </c>
      <c r="AE40" s="4">
        <v>0.1728172</v>
      </c>
      <c r="AF40" s="4">
        <v>-0.19942344000000001</v>
      </c>
      <c r="AG40" s="4">
        <v>3255.6709999999998</v>
      </c>
      <c r="AH40" s="18">
        <v>0.84194400000000003</v>
      </c>
      <c r="AI40" s="12">
        <f t="shared" si="4"/>
        <v>0.96612331271739627</v>
      </c>
      <c r="AJ40" s="10"/>
      <c r="AK40" s="6" t="s">
        <v>31</v>
      </c>
      <c r="AL40" s="14">
        <v>-3.4459999999999998E-2</v>
      </c>
      <c r="AM40" s="4">
        <v>0.17280000000000001</v>
      </c>
      <c r="AN40" s="4">
        <v>-0.19900000000000001</v>
      </c>
      <c r="AO40" s="4">
        <v>0.84194400000000003</v>
      </c>
      <c r="AP40" s="2">
        <f t="shared" si="5"/>
        <v>0.96612698399296004</v>
      </c>
      <c r="AR40" s="14"/>
      <c r="AS40" s="6"/>
      <c r="AZ40" s="14"/>
      <c r="BA40" s="6"/>
      <c r="BK40" s="6" t="s">
        <v>30</v>
      </c>
      <c r="BL40" s="4">
        <v>-0.18840000000000001</v>
      </c>
      <c r="BM40" s="4">
        <v>0.2147</v>
      </c>
      <c r="BN40" s="4">
        <v>-0.878</v>
      </c>
      <c r="BO40" s="4">
        <v>0.38035000000000002</v>
      </c>
      <c r="BP40" s="2">
        <f>EXP(BL40)</f>
        <v>0.82828332763012646</v>
      </c>
      <c r="BU40" s="6" t="s">
        <v>31</v>
      </c>
      <c r="BV40" s="4">
        <v>-0.2114</v>
      </c>
      <c r="BW40" s="4">
        <v>0.3745</v>
      </c>
      <c r="BX40" s="4">
        <v>-0.56399999999999995</v>
      </c>
      <c r="BY40" s="4">
        <v>0.57262000000000002</v>
      </c>
      <c r="BZ40" s="2">
        <f t="shared" si="9"/>
        <v>0.80945022202781236</v>
      </c>
    </row>
    <row r="41" spans="6:79" ht="15" customHeight="1" x14ac:dyDescent="0.25">
      <c r="F41" s="15"/>
      <c r="G41" s="12"/>
      <c r="L41" s="2"/>
      <c r="M41" s="15"/>
      <c r="N41" s="12"/>
      <c r="S41" s="12"/>
      <c r="T41" s="15"/>
      <c r="U41" s="12"/>
      <c r="V41" s="12" t="s">
        <v>31</v>
      </c>
      <c r="W41" s="12">
        <v>0.2019686</v>
      </c>
      <c r="X41" s="4">
        <v>0.1251447</v>
      </c>
      <c r="Y41" s="15">
        <v>1.61388066</v>
      </c>
      <c r="Z41" s="12">
        <v>3750.6190000000001</v>
      </c>
      <c r="AA41" s="15">
        <v>0.10663739999999999</v>
      </c>
      <c r="AB41" s="12">
        <f>EXP(W41)</f>
        <v>1.2238095798872297</v>
      </c>
      <c r="AC41" s="4" t="s">
        <v>32</v>
      </c>
      <c r="AD41" s="4">
        <v>0.31610515</v>
      </c>
      <c r="AE41" s="4">
        <v>0.28483029999999998</v>
      </c>
      <c r="AF41" s="4">
        <v>1.10980189</v>
      </c>
      <c r="AG41" s="4">
        <v>3255.6709999999998</v>
      </c>
      <c r="AH41" s="18">
        <v>0.26716640000000003</v>
      </c>
      <c r="AI41" s="12">
        <f t="shared" si="4"/>
        <v>1.3717744901304181</v>
      </c>
      <c r="AJ41" s="10"/>
      <c r="AK41" s="6" t="s">
        <v>32</v>
      </c>
      <c r="AL41" s="14">
        <v>0.31609999999999999</v>
      </c>
      <c r="AM41" s="4">
        <v>0.2848</v>
      </c>
      <c r="AN41" s="4">
        <v>1.1100000000000001</v>
      </c>
      <c r="AO41" s="4">
        <v>0.26716600000000001</v>
      </c>
      <c r="AP41" s="2">
        <f t="shared" si="5"/>
        <v>1.3717674255099852</v>
      </c>
      <c r="AR41" s="14"/>
      <c r="AS41" s="6" t="s">
        <v>30</v>
      </c>
      <c r="AT41" s="4">
        <v>0.52059</v>
      </c>
      <c r="AU41" s="4">
        <v>0.26195000000000002</v>
      </c>
      <c r="AV41" s="4">
        <v>1.9870000000000001</v>
      </c>
      <c r="AW41" s="4">
        <v>4.7169999999999997E-2</v>
      </c>
      <c r="AX41" s="2">
        <f t="shared" si="6"/>
        <v>1.6830203388267051</v>
      </c>
      <c r="AZ41" s="14"/>
      <c r="BA41" s="6" t="s">
        <v>30</v>
      </c>
      <c r="BB41" s="4">
        <v>0.1653</v>
      </c>
      <c r="BC41" s="4">
        <v>0.25319999999999998</v>
      </c>
      <c r="BD41" s="4">
        <v>0.65300000000000002</v>
      </c>
      <c r="BE41" s="4">
        <v>0.51400000000000001</v>
      </c>
      <c r="BF41" s="2">
        <f t="shared" si="7"/>
        <v>1.1797469897250019</v>
      </c>
      <c r="BK41" s="6" t="s">
        <v>31</v>
      </c>
      <c r="BL41" s="4">
        <v>-0.60350000000000004</v>
      </c>
      <c r="BM41" s="4">
        <v>0.33119999999999999</v>
      </c>
      <c r="BN41" s="4">
        <v>-1.8220000000000001</v>
      </c>
      <c r="BO41" s="4">
        <v>6.8680000000000005E-2</v>
      </c>
      <c r="BP41" s="2">
        <f>EXP(BL41)</f>
        <v>0.546894152920681</v>
      </c>
      <c r="BU41" s="6" t="s">
        <v>32</v>
      </c>
      <c r="BV41" s="4">
        <v>1.1140000000000001</v>
      </c>
      <c r="BW41" s="4">
        <v>0.68700000000000006</v>
      </c>
      <c r="BX41" s="4">
        <v>1.6220000000000001</v>
      </c>
      <c r="BY41" s="4">
        <v>0.10506500000000001</v>
      </c>
      <c r="BZ41" s="2">
        <f t="shared" si="9"/>
        <v>3.0465201352794562</v>
      </c>
    </row>
    <row r="42" spans="6:79" ht="15" customHeight="1" x14ac:dyDescent="0.25">
      <c r="F42" s="15"/>
      <c r="G42" s="12"/>
      <c r="L42" s="2"/>
      <c r="M42" s="15"/>
      <c r="N42" s="12"/>
      <c r="S42" s="12"/>
      <c r="T42" s="15"/>
      <c r="U42" s="12"/>
      <c r="V42" s="12" t="s">
        <v>32</v>
      </c>
      <c r="W42" s="12">
        <v>0.65359590000000001</v>
      </c>
      <c r="X42" s="4">
        <v>0.2163448</v>
      </c>
      <c r="Y42" s="15">
        <v>3.0210843600000001</v>
      </c>
      <c r="Z42" s="12">
        <v>3750.6190000000001</v>
      </c>
      <c r="AA42" s="15">
        <v>2.535706E-3</v>
      </c>
      <c r="AB42" s="12">
        <f>EXP(W42)</f>
        <v>1.9224413215860023</v>
      </c>
      <c r="AC42" s="4" t="s">
        <v>33</v>
      </c>
      <c r="AD42" s="4">
        <v>2.48606E-2</v>
      </c>
      <c r="AE42" s="4">
        <v>9.8385539999999994E-2</v>
      </c>
      <c r="AF42" s="4">
        <v>0.25268555999999998</v>
      </c>
      <c r="AG42" s="4">
        <v>3255.6709999999998</v>
      </c>
      <c r="AH42" s="18">
        <v>0.80052719999999999</v>
      </c>
      <c r="AI42" s="12">
        <f t="shared" si="4"/>
        <v>1.0251722015583111</v>
      </c>
      <c r="AJ42" s="10"/>
      <c r="AK42" s="6" t="s">
        <v>33</v>
      </c>
      <c r="AL42" s="14">
        <v>2.486E-2</v>
      </c>
      <c r="AM42" s="4">
        <v>9.8390000000000005E-2</v>
      </c>
      <c r="AN42" s="4">
        <v>0.253</v>
      </c>
      <c r="AO42" s="4">
        <v>0.80052699999999999</v>
      </c>
      <c r="AP42" s="2">
        <f t="shared" si="5"/>
        <v>1.0251715864551747</v>
      </c>
      <c r="AR42" s="14"/>
      <c r="AS42" s="6" t="s">
        <v>31</v>
      </c>
      <c r="AT42" s="4">
        <v>8.3750000000000005E-2</v>
      </c>
      <c r="AU42" s="4">
        <v>0.33839000000000002</v>
      </c>
      <c r="AV42" s="4">
        <v>0.247</v>
      </c>
      <c r="AW42" s="4">
        <v>0.80457999999999996</v>
      </c>
      <c r="AX42" s="2">
        <f t="shared" si="6"/>
        <v>1.0873570205709446</v>
      </c>
      <c r="AZ42" s="14"/>
      <c r="BA42" s="6" t="s">
        <v>31</v>
      </c>
      <c r="BB42" s="4">
        <v>0.38800000000000001</v>
      </c>
      <c r="BC42" s="4">
        <v>0.34389999999999998</v>
      </c>
      <c r="BD42" s="4">
        <v>1.1279999999999999</v>
      </c>
      <c r="BE42" s="4">
        <v>0.2596</v>
      </c>
      <c r="BF42" s="2">
        <f t="shared" si="7"/>
        <v>1.4740297842881416</v>
      </c>
      <c r="BK42" s="6" t="s">
        <v>32</v>
      </c>
      <c r="BL42" s="4">
        <v>-0.78739999999999999</v>
      </c>
      <c r="BM42" s="4">
        <v>0.64749999999999996</v>
      </c>
      <c r="BN42" s="4">
        <v>-1.216</v>
      </c>
      <c r="BO42" s="4">
        <v>0.22420999999999999</v>
      </c>
      <c r="BP42" s="2">
        <f>EXP(BL42)</f>
        <v>0.4550263270758253</v>
      </c>
      <c r="BU42" s="6" t="s">
        <v>33</v>
      </c>
      <c r="BV42" s="4">
        <v>0.14799999999999999</v>
      </c>
      <c r="BW42" s="4">
        <v>0.1993</v>
      </c>
      <c r="BX42" s="4">
        <v>0.74299999999999999</v>
      </c>
      <c r="BY42" s="4">
        <v>0.45772499999999999</v>
      </c>
      <c r="BZ42" s="2">
        <f t="shared" si="9"/>
        <v>1.1595128963629739</v>
      </c>
    </row>
    <row r="43" spans="6:79" ht="15" customHeight="1" x14ac:dyDescent="0.25">
      <c r="F43" s="15"/>
      <c r="G43" s="12"/>
      <c r="L43" s="2"/>
      <c r="M43" s="15"/>
      <c r="N43" s="12"/>
      <c r="S43" s="12"/>
      <c r="T43" s="15"/>
      <c r="U43" s="12"/>
      <c r="V43" s="12"/>
      <c r="W43" s="12"/>
      <c r="Y43" s="15"/>
      <c r="Z43" s="12"/>
      <c r="AA43" s="15"/>
      <c r="AB43" s="12"/>
      <c r="AC43" s="4" t="s">
        <v>34</v>
      </c>
      <c r="AD43" s="4">
        <v>1.407311E-2</v>
      </c>
      <c r="AE43" s="4">
        <v>0.1166455</v>
      </c>
      <c r="AF43" s="4">
        <v>0.12064853</v>
      </c>
      <c r="AG43" s="4">
        <v>3255.6709999999998</v>
      </c>
      <c r="AH43" s="18">
        <v>0.90397689999999997</v>
      </c>
      <c r="AI43" s="12">
        <f t="shared" si="4"/>
        <v>1.014172602387106</v>
      </c>
      <c r="AJ43" s="10"/>
      <c r="AK43" s="6" t="s">
        <v>34</v>
      </c>
      <c r="AL43" s="14">
        <v>1.4069999999999999E-2</v>
      </c>
      <c r="AM43" s="4">
        <v>0.1166</v>
      </c>
      <c r="AN43" s="4">
        <v>0.121</v>
      </c>
      <c r="AO43" s="4">
        <v>0.90397700000000003</v>
      </c>
      <c r="AP43" s="2">
        <f t="shared" si="5"/>
        <v>1.0141694483152173</v>
      </c>
      <c r="AR43" s="14"/>
      <c r="AS43" s="6" t="s">
        <v>32</v>
      </c>
      <c r="AT43" s="4">
        <v>-0.32713999999999999</v>
      </c>
      <c r="AU43" s="4">
        <v>0.54430999999999996</v>
      </c>
      <c r="AV43" s="4">
        <v>-0.60099999999999998</v>
      </c>
      <c r="AW43" s="4">
        <v>0.54798000000000002</v>
      </c>
      <c r="AX43" s="2">
        <f t="shared" si="6"/>
        <v>0.72098279836887424</v>
      </c>
      <c r="AZ43" s="14"/>
      <c r="BA43" s="6" t="s">
        <v>32</v>
      </c>
      <c r="BB43" s="4">
        <v>1.3109999999999999</v>
      </c>
      <c r="BC43" s="4">
        <v>0.52210000000000001</v>
      </c>
      <c r="BD43" s="4">
        <v>2.512</v>
      </c>
      <c r="BE43" s="4">
        <v>1.2200000000000001E-2</v>
      </c>
      <c r="BF43" s="2">
        <f t="shared" si="7"/>
        <v>3.7098817396271149</v>
      </c>
      <c r="BK43" s="6" t="s">
        <v>33</v>
      </c>
      <c r="BL43" s="4">
        <v>1.137E-2</v>
      </c>
      <c r="BM43" s="4">
        <v>0.17910000000000001</v>
      </c>
      <c r="BN43" s="4">
        <v>6.3E-2</v>
      </c>
      <c r="BO43" s="4">
        <v>0.94940000000000002</v>
      </c>
      <c r="BP43" s="2">
        <f>EXP(BL43)</f>
        <v>1.0114348841276668</v>
      </c>
      <c r="BU43" s="6" t="s">
        <v>34</v>
      </c>
      <c r="BV43" s="4">
        <v>0.73770000000000002</v>
      </c>
      <c r="BW43" s="4">
        <v>0.26240000000000002</v>
      </c>
      <c r="BX43" s="4">
        <v>2.8109999999999999</v>
      </c>
      <c r="BY43" s="4">
        <v>5.025E-3</v>
      </c>
      <c r="BZ43" s="2">
        <f t="shared" si="9"/>
        <v>2.0911204023126984</v>
      </c>
    </row>
    <row r="44" spans="6:79" ht="15" customHeight="1" x14ac:dyDescent="0.25">
      <c r="F44" s="15"/>
      <c r="G44" s="12"/>
      <c r="L44" s="2"/>
      <c r="M44" s="15"/>
      <c r="N44" s="12"/>
      <c r="S44" s="12"/>
      <c r="T44" s="15"/>
      <c r="U44" s="12"/>
      <c r="V44" s="12"/>
      <c r="W44" s="12"/>
      <c r="Y44" s="15"/>
      <c r="Z44" s="12"/>
      <c r="AA44" s="15"/>
      <c r="AB44" s="12"/>
      <c r="AI44" s="12"/>
      <c r="AJ44" s="10"/>
      <c r="AK44" s="6"/>
      <c r="AL44" s="14"/>
      <c r="AR44" s="14"/>
      <c r="AS44" s="6" t="s">
        <v>33</v>
      </c>
      <c r="AT44" s="4">
        <v>9.2369999999999994E-2</v>
      </c>
      <c r="AU44" s="4">
        <v>0.19572999999999999</v>
      </c>
      <c r="AV44" s="4">
        <v>0.47199999999999998</v>
      </c>
      <c r="AW44" s="4">
        <v>0.63707999999999998</v>
      </c>
      <c r="AX44" s="2">
        <f t="shared" si="6"/>
        <v>1.0967705521204154</v>
      </c>
      <c r="AZ44" s="14"/>
      <c r="BA44" s="6" t="s">
        <v>33</v>
      </c>
      <c r="BB44" s="4">
        <v>-0.1283</v>
      </c>
      <c r="BC44" s="4">
        <v>0.1832</v>
      </c>
      <c r="BD44" s="4">
        <v>-0.7</v>
      </c>
      <c r="BE44" s="4">
        <v>0.48380000000000001</v>
      </c>
      <c r="BF44" s="2">
        <f t="shared" si="7"/>
        <v>0.87958946272034344</v>
      </c>
      <c r="BK44" s="6" t="s">
        <v>34</v>
      </c>
      <c r="BL44" s="4">
        <v>-0.56399999999999995</v>
      </c>
      <c r="BM44" s="4">
        <v>0.22500000000000001</v>
      </c>
      <c r="BN44" s="4">
        <v>-2.5070000000000001</v>
      </c>
      <c r="BO44" s="4">
        <v>1.231E-2</v>
      </c>
      <c r="BP44" s="2">
        <f>EXP(BL44)</f>
        <v>0.56892879117912176</v>
      </c>
      <c r="BU44" s="6"/>
    </row>
    <row r="45" spans="6:79" ht="15" customHeight="1" x14ac:dyDescent="0.25">
      <c r="F45" s="15"/>
      <c r="G45" s="12"/>
      <c r="L45" s="2"/>
      <c r="M45" s="15"/>
      <c r="N45" s="12"/>
      <c r="S45" s="12"/>
      <c r="T45" s="15"/>
      <c r="U45" s="12"/>
      <c r="V45" s="12"/>
      <c r="W45" s="12"/>
      <c r="Y45" s="15"/>
      <c r="Z45" s="12"/>
      <c r="AA45" s="15"/>
      <c r="AB45" s="12"/>
      <c r="AC45" s="4" t="s">
        <v>35</v>
      </c>
      <c r="AD45" s="4">
        <v>0.23611366</v>
      </c>
      <c r="AE45" s="4">
        <v>0.16022980000000001</v>
      </c>
      <c r="AF45" s="4">
        <v>1.4735941100000001</v>
      </c>
      <c r="AG45" s="4">
        <v>3255.6709999999998</v>
      </c>
      <c r="AH45" s="18">
        <v>0.1406876</v>
      </c>
      <c r="AI45" s="12">
        <f t="shared" si="4"/>
        <v>1.2663182317178803</v>
      </c>
      <c r="AJ45" s="10"/>
      <c r="AK45" s="6" t="s">
        <v>35</v>
      </c>
      <c r="AL45" s="14">
        <v>0.2361</v>
      </c>
      <c r="AM45" s="4">
        <v>0.16020000000000001</v>
      </c>
      <c r="AN45" s="4">
        <v>1.474</v>
      </c>
      <c r="AO45" s="4">
        <v>0.14068800000000001</v>
      </c>
      <c r="AP45" s="2">
        <f t="shared" si="5"/>
        <v>1.2663009339289792</v>
      </c>
      <c r="AR45" s="14"/>
      <c r="AS45" s="6"/>
      <c r="AZ45" s="14"/>
      <c r="BA45" s="6" t="s">
        <v>34</v>
      </c>
      <c r="BB45" s="4">
        <v>0.25430000000000003</v>
      </c>
      <c r="BC45" s="4">
        <v>0.22420000000000001</v>
      </c>
      <c r="BD45" s="4">
        <v>1.1339999999999999</v>
      </c>
      <c r="BE45" s="4">
        <v>0.25700000000000001</v>
      </c>
      <c r="BF45" s="2">
        <f t="shared" si="7"/>
        <v>1.2895586138276176</v>
      </c>
      <c r="BK45" s="6"/>
      <c r="BU45" s="6" t="s">
        <v>35</v>
      </c>
      <c r="BV45" s="4">
        <v>0.17760000000000001</v>
      </c>
      <c r="BW45" s="4">
        <v>0.27379999999999999</v>
      </c>
      <c r="BX45" s="4">
        <v>0.64900000000000002</v>
      </c>
      <c r="BY45" s="4">
        <v>0.51662799999999998</v>
      </c>
      <c r="BZ45" s="2">
        <f t="shared" si="9"/>
        <v>1.1943474866795891</v>
      </c>
    </row>
    <row r="46" spans="6:79" ht="15" customHeight="1" x14ac:dyDescent="0.25">
      <c r="F46" s="15"/>
      <c r="G46" s="12"/>
      <c r="L46" s="2"/>
      <c r="M46" s="15"/>
      <c r="N46" s="12"/>
      <c r="S46" s="12"/>
      <c r="T46" s="15"/>
      <c r="U46" s="12"/>
      <c r="V46" s="12"/>
      <c r="W46" s="12"/>
      <c r="Y46" s="15"/>
      <c r="Z46" s="12"/>
      <c r="AA46" s="15"/>
      <c r="AB46" s="12"/>
      <c r="AC46" s="4" t="s">
        <v>36</v>
      </c>
      <c r="AD46" s="4">
        <v>0.32993797000000002</v>
      </c>
      <c r="AE46" s="4">
        <v>0.19849269999999999</v>
      </c>
      <c r="AF46" s="4">
        <v>1.66221752</v>
      </c>
      <c r="AG46" s="4">
        <v>3255.6709999999998</v>
      </c>
      <c r="AH46" s="18">
        <v>9.6565429999999994E-2</v>
      </c>
      <c r="AI46" s="12">
        <f t="shared" si="4"/>
        <v>1.390881849386745</v>
      </c>
      <c r="AJ46" s="10"/>
      <c r="AK46" s="6" t="s">
        <v>36</v>
      </c>
      <c r="AL46" s="14">
        <v>0.32990000000000003</v>
      </c>
      <c r="AM46" s="4">
        <v>0.19850000000000001</v>
      </c>
      <c r="AN46" s="4">
        <v>1.6619999999999999</v>
      </c>
      <c r="AO46" s="4">
        <v>9.6564999999999998E-2</v>
      </c>
      <c r="AP46" s="2">
        <f t="shared" si="5"/>
        <v>1.3908290386055429</v>
      </c>
      <c r="AR46" s="14"/>
      <c r="AS46" s="6" t="s">
        <v>34</v>
      </c>
      <c r="AT46" s="4">
        <v>-0.38690999999999998</v>
      </c>
      <c r="AU46" s="4">
        <v>0.23114000000000001</v>
      </c>
      <c r="AV46" s="4">
        <v>-1.6739999999999999</v>
      </c>
      <c r="AW46" s="4">
        <v>9.4469999999999998E-2</v>
      </c>
      <c r="AX46" s="2">
        <f t="shared" si="6"/>
        <v>0.67915221587558172</v>
      </c>
      <c r="AZ46" s="14"/>
      <c r="BA46" s="6"/>
      <c r="BK46" s="6" t="s">
        <v>35</v>
      </c>
      <c r="BL46" s="4">
        <v>0.43080000000000002</v>
      </c>
      <c r="BM46" s="4">
        <v>0.29409999999999997</v>
      </c>
      <c r="BN46" s="4">
        <v>1.4650000000000001</v>
      </c>
      <c r="BO46" s="4">
        <v>0.14323</v>
      </c>
      <c r="BP46" s="2">
        <f>EXP(BL46)</f>
        <v>1.5384878216207332</v>
      </c>
      <c r="BU46" s="6" t="s">
        <v>36</v>
      </c>
      <c r="BV46" s="4">
        <v>0.17249999999999999</v>
      </c>
      <c r="BW46" s="4">
        <v>0.36320000000000002</v>
      </c>
      <c r="BX46" s="4">
        <v>0.47499999999999998</v>
      </c>
      <c r="BY46" s="4">
        <v>0.63482700000000003</v>
      </c>
      <c r="BZ46" s="2">
        <f t="shared" si="9"/>
        <v>1.1882718206149883</v>
      </c>
    </row>
    <row r="47" spans="6:79" ht="15" customHeight="1" x14ac:dyDescent="0.25">
      <c r="F47" s="15"/>
      <c r="G47" s="12"/>
      <c r="L47" s="2"/>
      <c r="M47" s="15"/>
      <c r="N47" s="12"/>
      <c r="S47" s="12"/>
      <c r="T47" s="15"/>
      <c r="U47" s="12"/>
      <c r="V47" s="12"/>
      <c r="W47" s="12"/>
      <c r="Y47" s="15"/>
      <c r="Z47" s="12"/>
      <c r="AA47" s="15"/>
      <c r="AB47" s="12"/>
      <c r="AC47" s="4" t="s">
        <v>37</v>
      </c>
      <c r="AD47" s="4">
        <v>0.67753998000000004</v>
      </c>
      <c r="AE47" s="4">
        <v>0.25414120000000001</v>
      </c>
      <c r="AF47" s="4">
        <v>2.66599809</v>
      </c>
      <c r="AG47" s="4">
        <v>3255.6709999999998</v>
      </c>
      <c r="AH47" s="18">
        <v>7.7139510000000001E-3</v>
      </c>
      <c r="AI47" s="12">
        <f t="shared" si="4"/>
        <v>1.9690279212933561</v>
      </c>
      <c r="AJ47" s="10"/>
      <c r="AK47" s="7" t="s">
        <v>37</v>
      </c>
      <c r="AL47" s="14">
        <v>0.67749999999999999</v>
      </c>
      <c r="AM47" s="4">
        <v>0.25409999999999999</v>
      </c>
      <c r="AN47" s="4">
        <v>2.6659999999999999</v>
      </c>
      <c r="AO47" s="4">
        <v>7.7140000000000004E-3</v>
      </c>
      <c r="AP47" s="2">
        <f t="shared" si="5"/>
        <v>1.9689492011306893</v>
      </c>
      <c r="AR47" s="14"/>
      <c r="AS47" s="6" t="s">
        <v>35</v>
      </c>
      <c r="AT47" s="4">
        <v>-5.5059999999999998E-2</v>
      </c>
      <c r="AU47" s="4">
        <v>0.32658999999999999</v>
      </c>
      <c r="AV47" s="4">
        <v>-0.16900000000000001</v>
      </c>
      <c r="AW47" s="4">
        <v>0.86614999999999998</v>
      </c>
      <c r="AX47" s="2">
        <f t="shared" si="6"/>
        <v>0.94642836054824586</v>
      </c>
      <c r="AZ47" s="14"/>
      <c r="BA47" s="6" t="s">
        <v>35</v>
      </c>
      <c r="BB47" s="4">
        <v>0.2467</v>
      </c>
      <c r="BC47" s="4">
        <v>0.31080000000000002</v>
      </c>
      <c r="BD47" s="4">
        <v>0.79400000000000004</v>
      </c>
      <c r="BE47" s="4">
        <v>0.4274</v>
      </c>
      <c r="BF47" s="2">
        <f t="shared" si="7"/>
        <v>1.2797951166467363</v>
      </c>
      <c r="BK47" s="6" t="s">
        <v>36</v>
      </c>
      <c r="BL47" s="4">
        <v>0.86429999999999996</v>
      </c>
      <c r="BM47" s="4">
        <v>0.36009999999999998</v>
      </c>
      <c r="BN47" s="4">
        <v>2.4</v>
      </c>
      <c r="BO47" s="4">
        <v>1.6549999999999999E-2</v>
      </c>
      <c r="BP47" s="2">
        <f>EXP(BL47)</f>
        <v>2.3733441634576713</v>
      </c>
      <c r="BU47" s="7" t="s">
        <v>37</v>
      </c>
      <c r="BV47" s="4">
        <v>0.61060000000000003</v>
      </c>
      <c r="BW47" s="4">
        <v>0.50560000000000005</v>
      </c>
      <c r="BX47" s="4">
        <v>1.208</v>
      </c>
      <c r="BY47" s="4">
        <v>0.227409</v>
      </c>
      <c r="BZ47" s="2">
        <f t="shared" si="9"/>
        <v>1.8415359889648237</v>
      </c>
    </row>
    <row r="48" spans="6:79" ht="15" customHeight="1" x14ac:dyDescent="0.25">
      <c r="F48" s="15"/>
      <c r="G48" s="12"/>
      <c r="L48" s="2"/>
      <c r="M48" s="15"/>
      <c r="N48" s="12"/>
      <c r="S48" s="12"/>
      <c r="T48" s="15"/>
      <c r="U48" s="12"/>
      <c r="V48" s="12"/>
      <c r="W48" s="12"/>
      <c r="Y48" s="15"/>
      <c r="Z48" s="12"/>
      <c r="AA48" s="15"/>
      <c r="AB48" s="12"/>
      <c r="AI48" s="12"/>
      <c r="AJ48" s="10"/>
      <c r="AK48" s="14"/>
      <c r="AL48" s="14"/>
      <c r="AR48" s="14"/>
      <c r="AS48" s="6" t="s">
        <v>36</v>
      </c>
      <c r="AT48" s="4">
        <v>0.63336999999999999</v>
      </c>
      <c r="AU48" s="4">
        <v>0.41203000000000001</v>
      </c>
      <c r="AV48" s="4">
        <v>1.5369999999999999</v>
      </c>
      <c r="AW48" s="4">
        <v>0.12458</v>
      </c>
      <c r="AX48" s="2">
        <f t="shared" si="6"/>
        <v>1.8839488008212428</v>
      </c>
      <c r="AZ48" s="14"/>
      <c r="BA48" s="6" t="s">
        <v>36</v>
      </c>
      <c r="BB48" s="4">
        <v>-0.113</v>
      </c>
      <c r="BC48" s="4">
        <v>0.38750000000000001</v>
      </c>
      <c r="BD48" s="4">
        <v>-0.29199999999999998</v>
      </c>
      <c r="BE48" s="4">
        <v>0.77049999999999996</v>
      </c>
      <c r="BF48" s="2">
        <f t="shared" si="7"/>
        <v>0.89315066011601552</v>
      </c>
      <c r="BK48" s="7" t="s">
        <v>37</v>
      </c>
      <c r="BL48" s="4">
        <v>1.399</v>
      </c>
      <c r="BM48" s="4">
        <v>0.49580000000000002</v>
      </c>
      <c r="BN48" s="4">
        <v>2.8210000000000002</v>
      </c>
      <c r="BO48" s="4">
        <v>4.8700000000000002E-3</v>
      </c>
      <c r="BP48" s="2">
        <f>EXP(BL48)</f>
        <v>4.0511467938021157</v>
      </c>
      <c r="BU48" s="10"/>
    </row>
    <row r="49" spans="6:74" ht="15" customHeight="1" x14ac:dyDescent="0.25">
      <c r="F49" s="15"/>
      <c r="G49" s="12"/>
      <c r="L49" s="2"/>
      <c r="M49" s="15"/>
      <c r="N49" s="12"/>
      <c r="S49" s="12"/>
      <c r="T49" s="15"/>
      <c r="U49" s="12"/>
      <c r="V49" s="12"/>
      <c r="W49" s="12"/>
      <c r="Y49" s="15"/>
      <c r="Z49" s="12"/>
      <c r="AA49" s="15"/>
      <c r="AB49" s="12"/>
      <c r="AI49" s="12"/>
      <c r="AJ49" s="10"/>
      <c r="AK49" s="14"/>
      <c r="AL49" s="14"/>
      <c r="AR49" s="14"/>
      <c r="AS49" s="7" t="s">
        <v>37</v>
      </c>
      <c r="AT49" s="4">
        <v>1.47411</v>
      </c>
      <c r="AU49" s="4">
        <v>0.49728</v>
      </c>
      <c r="AV49" s="4">
        <v>2.964</v>
      </c>
      <c r="AW49" s="4">
        <v>3.1099999999999999E-3</v>
      </c>
      <c r="AX49" s="2">
        <f t="shared" si="6"/>
        <v>4.3671472817271084</v>
      </c>
      <c r="AZ49" s="14"/>
      <c r="BA49" s="7" t="s">
        <v>37</v>
      </c>
      <c r="BB49" s="4">
        <v>-0.26169999999999999</v>
      </c>
      <c r="BC49" s="4">
        <v>0.48130000000000001</v>
      </c>
      <c r="BD49" s="4">
        <v>-0.54400000000000004</v>
      </c>
      <c r="BE49" s="4">
        <v>0.5867</v>
      </c>
      <c r="BF49" s="2">
        <f t="shared" si="7"/>
        <v>0.76974191164614725</v>
      </c>
      <c r="BK49" s="10"/>
      <c r="BU49" s="10"/>
    </row>
    <row r="50" spans="6:74" ht="15" customHeight="1" x14ac:dyDescent="0.25">
      <c r="F50" s="15"/>
      <c r="G50" s="12"/>
      <c r="L50" s="2"/>
      <c r="M50" s="15"/>
      <c r="N50" s="12"/>
      <c r="S50" s="12"/>
      <c r="T50" s="15"/>
      <c r="U50" s="12"/>
      <c r="V50" s="12"/>
      <c r="W50" s="12"/>
      <c r="Y50" s="15"/>
      <c r="Z50" s="12"/>
      <c r="AA50" s="15"/>
      <c r="AB50" s="12"/>
      <c r="AI50" s="12"/>
      <c r="AJ50" s="10"/>
      <c r="AK50" s="14"/>
      <c r="AL50" s="14"/>
      <c r="AR50" s="14"/>
      <c r="AS50" s="10"/>
      <c r="AZ50" s="14"/>
      <c r="BA50" s="7"/>
      <c r="BK50" s="10"/>
      <c r="BU50" s="10"/>
    </row>
    <row r="51" spans="6:74" ht="15" customHeight="1" x14ac:dyDescent="0.25">
      <c r="F51" s="16"/>
      <c r="G51" s="12"/>
      <c r="M51" s="15"/>
      <c r="N51" s="12"/>
      <c r="S51" s="12"/>
      <c r="T51" s="15"/>
      <c r="U51" s="12"/>
      <c r="V51" s="12"/>
      <c r="W51" s="12"/>
      <c r="Y51" s="15"/>
      <c r="Z51" s="12"/>
      <c r="AA51" s="15"/>
      <c r="AB51" s="12"/>
      <c r="AI51" s="12"/>
      <c r="AJ51" s="10"/>
      <c r="AK51" s="14"/>
      <c r="AL51" s="14"/>
      <c r="AR51" s="14"/>
      <c r="AS51" s="10"/>
      <c r="AZ51" s="14"/>
      <c r="BA51" s="10"/>
      <c r="BK51" s="10"/>
      <c r="BU51" s="10"/>
      <c r="BV51" s="14"/>
    </row>
    <row r="52" spans="6:74" ht="15" customHeight="1" x14ac:dyDescent="0.25">
      <c r="F52" s="16"/>
      <c r="G52" s="12"/>
      <c r="M52" s="15"/>
      <c r="N52" s="12"/>
      <c r="S52" s="12"/>
      <c r="T52" s="15"/>
      <c r="U52" s="12"/>
      <c r="V52" s="12"/>
      <c r="W52" s="12"/>
      <c r="Y52" s="15"/>
      <c r="Z52" s="6"/>
      <c r="AA52" s="15"/>
      <c r="AB52" s="12"/>
      <c r="AI52" s="12"/>
      <c r="AJ52" s="10"/>
      <c r="AK52" s="14"/>
      <c r="AL52" s="14"/>
      <c r="AR52" s="14"/>
      <c r="AS52" s="10"/>
      <c r="AZ52" s="14"/>
      <c r="BA52" s="10"/>
      <c r="BK52" s="10"/>
      <c r="BU52" s="10"/>
      <c r="BV52" s="14"/>
    </row>
    <row r="53" spans="6:74" ht="15" customHeight="1" x14ac:dyDescent="0.25">
      <c r="F53" s="16"/>
      <c r="G53" s="12"/>
      <c r="M53" s="15"/>
      <c r="N53" s="12"/>
      <c r="S53" s="12"/>
      <c r="T53" s="15"/>
      <c r="U53" s="12"/>
      <c r="V53" s="12"/>
      <c r="W53" s="12"/>
      <c r="Y53" s="15"/>
      <c r="Z53" s="6"/>
      <c r="AA53" s="15"/>
      <c r="AB53" s="12"/>
      <c r="AI53" s="12"/>
      <c r="AJ53" s="10"/>
      <c r="AK53" s="14"/>
      <c r="AL53" s="14"/>
      <c r="AR53" s="14"/>
      <c r="AS53" s="10"/>
      <c r="AZ53" s="14"/>
      <c r="BA53" s="10"/>
      <c r="BK53" s="10"/>
      <c r="BU53" s="10"/>
      <c r="BV53" s="14"/>
    </row>
    <row r="54" spans="6:74" ht="15" customHeight="1" x14ac:dyDescent="0.25">
      <c r="F54" s="16"/>
      <c r="G54" s="12"/>
      <c r="M54" s="15"/>
      <c r="N54" s="12"/>
      <c r="S54" s="12"/>
      <c r="T54" s="15"/>
      <c r="U54" s="12"/>
      <c r="V54" s="12"/>
      <c r="W54" s="12"/>
      <c r="Y54" s="15"/>
      <c r="Z54" s="6"/>
      <c r="AA54" s="15"/>
      <c r="AB54" s="12"/>
      <c r="AI54" s="12"/>
      <c r="AJ54" s="10"/>
      <c r="AK54" s="14"/>
      <c r="AL54" s="14"/>
      <c r="AR54" s="14"/>
      <c r="AS54" s="10"/>
      <c r="AZ54" s="14"/>
      <c r="BA54" s="10"/>
      <c r="BK54" s="11"/>
      <c r="BU54" s="11"/>
      <c r="BV54" s="14"/>
    </row>
    <row r="55" spans="6:74" ht="15" customHeight="1" x14ac:dyDescent="0.25">
      <c r="F55" s="16"/>
      <c r="G55" s="12"/>
      <c r="M55" s="15"/>
      <c r="N55" s="12"/>
      <c r="S55" s="12"/>
      <c r="T55" s="15"/>
      <c r="U55" s="12"/>
      <c r="V55" s="12"/>
      <c r="W55" s="12"/>
      <c r="Y55" s="15"/>
      <c r="Z55" s="6"/>
      <c r="AA55" s="15"/>
      <c r="AB55" s="12"/>
      <c r="AI55" s="12"/>
      <c r="AJ55" s="10"/>
      <c r="AK55" s="14"/>
      <c r="AL55" s="14"/>
      <c r="AR55" s="14"/>
      <c r="AS55" s="10"/>
      <c r="AZ55" s="14"/>
      <c r="BA55" s="10"/>
      <c r="BK55" s="17"/>
      <c r="BU55" s="11"/>
      <c r="BV55" s="14"/>
    </row>
    <row r="56" spans="6:74" ht="15" customHeight="1" x14ac:dyDescent="0.25">
      <c r="F56" s="16"/>
      <c r="G56" s="12"/>
      <c r="M56" s="15"/>
      <c r="N56" s="12"/>
      <c r="S56" s="12"/>
      <c r="T56" s="15"/>
      <c r="U56" s="12"/>
      <c r="V56" s="12"/>
      <c r="W56" s="12"/>
      <c r="Y56" s="15"/>
      <c r="Z56" s="6"/>
      <c r="AA56" s="15"/>
      <c r="AB56" s="12"/>
      <c r="AI56" s="12"/>
      <c r="AJ56" s="10"/>
      <c r="AK56" s="14"/>
      <c r="AL56" s="14"/>
      <c r="AR56" s="14"/>
      <c r="AS56" s="10"/>
      <c r="AZ56" s="14"/>
      <c r="BA56" s="10"/>
      <c r="BK56" s="17"/>
      <c r="BU56" s="11"/>
      <c r="BV56" s="14"/>
    </row>
    <row r="57" spans="6:74" ht="15" customHeight="1" x14ac:dyDescent="0.25">
      <c r="G57" s="12"/>
      <c r="M57" s="15"/>
      <c r="N57" s="12"/>
      <c r="S57" s="12"/>
      <c r="T57" s="15"/>
      <c r="U57" s="12"/>
      <c r="V57" s="12"/>
      <c r="W57" s="12"/>
      <c r="Y57" s="15"/>
      <c r="Z57" s="6"/>
      <c r="AA57" s="15"/>
      <c r="AB57" s="12"/>
      <c r="AI57" s="12"/>
      <c r="AJ57" s="11"/>
      <c r="AK57" s="14"/>
      <c r="AL57" s="14"/>
      <c r="AR57" s="14"/>
      <c r="AS57" s="11"/>
      <c r="AZ57" s="14"/>
      <c r="BA57" s="11"/>
      <c r="BK57" s="17"/>
      <c r="BU57" s="11"/>
      <c r="BV57" s="14"/>
    </row>
    <row r="58" spans="6:74" ht="15" customHeight="1" x14ac:dyDescent="0.25">
      <c r="G58" s="12"/>
      <c r="M58" s="15"/>
      <c r="N58" s="12"/>
      <c r="S58" s="12"/>
      <c r="T58" s="15"/>
      <c r="U58" s="12"/>
      <c r="V58" s="12"/>
      <c r="W58" s="12"/>
      <c r="Y58" s="15"/>
      <c r="Z58" s="6"/>
      <c r="AA58" s="15"/>
      <c r="AB58" s="12"/>
      <c r="AI58" s="12"/>
      <c r="AK58" s="14"/>
      <c r="AL58" s="14"/>
      <c r="AR58" s="14"/>
      <c r="AS58" s="14"/>
      <c r="AZ58" s="14"/>
      <c r="BA58" s="11"/>
      <c r="BK58" s="17"/>
      <c r="BU58" s="14"/>
      <c r="BV58" s="14"/>
    </row>
    <row r="59" spans="6:74" ht="15" customHeight="1" x14ac:dyDescent="0.25">
      <c r="G59" s="12"/>
      <c r="M59" s="15"/>
      <c r="N59" s="12"/>
      <c r="S59" s="12"/>
      <c r="T59" s="15"/>
      <c r="U59" s="12"/>
      <c r="V59" s="12"/>
      <c r="W59" s="12"/>
      <c r="Y59" s="15"/>
      <c r="Z59" s="6"/>
      <c r="AA59" s="15"/>
      <c r="AB59" s="12"/>
      <c r="AI59" s="12"/>
      <c r="AK59" s="14"/>
      <c r="AL59" s="14"/>
      <c r="AR59" s="14"/>
      <c r="AS59" s="14"/>
      <c r="AZ59" s="14"/>
      <c r="BA59" s="11"/>
      <c r="BK59" s="17"/>
      <c r="BU59" s="14"/>
      <c r="BV59" s="14"/>
    </row>
    <row r="60" spans="6:74" ht="15" customHeight="1" x14ac:dyDescent="0.25">
      <c r="G60" s="12"/>
      <c r="M60" s="15"/>
      <c r="N60" s="13"/>
      <c r="S60" s="12"/>
      <c r="T60" s="15"/>
      <c r="U60" s="12"/>
      <c r="V60" s="12"/>
      <c r="W60" s="12"/>
      <c r="Y60" s="15"/>
      <c r="Z60" s="6"/>
      <c r="AA60" s="15"/>
      <c r="AB60" s="12"/>
      <c r="AI60" s="12"/>
      <c r="AK60" s="14"/>
      <c r="AL60" s="14"/>
      <c r="AR60" s="14"/>
      <c r="AS60" s="14"/>
      <c r="AZ60" s="14"/>
      <c r="BA60" s="14"/>
      <c r="BK60" s="14"/>
      <c r="BU60" s="14"/>
      <c r="BV60" s="14"/>
    </row>
    <row r="61" spans="6:74" ht="15" customHeight="1" x14ac:dyDescent="0.25">
      <c r="G61" s="12"/>
      <c r="M61" s="15"/>
      <c r="N61" s="12"/>
      <c r="S61" s="12"/>
      <c r="T61" s="15"/>
      <c r="U61" s="12"/>
      <c r="V61" s="12"/>
      <c r="W61" s="12"/>
      <c r="Y61" s="15"/>
      <c r="Z61" s="6"/>
      <c r="AA61" s="15"/>
      <c r="AB61" s="12"/>
      <c r="AI61" s="12"/>
      <c r="AK61" s="14"/>
      <c r="AL61" s="14"/>
      <c r="AR61" s="17"/>
      <c r="AS61" s="14"/>
      <c r="AZ61" s="14"/>
      <c r="BA61" s="14"/>
      <c r="BK61" s="14"/>
      <c r="BU61" s="17"/>
      <c r="BV61" s="14"/>
    </row>
    <row r="62" spans="6:74" ht="15" customHeight="1" x14ac:dyDescent="0.25">
      <c r="G62" s="13"/>
      <c r="M62" s="15"/>
      <c r="N62" s="12"/>
      <c r="S62" s="12"/>
      <c r="T62" s="15"/>
      <c r="U62" s="12"/>
      <c r="V62" s="12"/>
      <c r="W62" s="12"/>
      <c r="Y62" s="15"/>
      <c r="Z62" s="6"/>
      <c r="AA62" s="15"/>
      <c r="AB62" s="12"/>
      <c r="AI62" s="12"/>
      <c r="AK62" s="14"/>
      <c r="AL62" s="17"/>
      <c r="AS62" s="14"/>
      <c r="AZ62" s="14"/>
      <c r="BA62" s="14"/>
      <c r="BK62" s="14"/>
      <c r="BU62" s="14"/>
      <c r="BV62" s="14"/>
    </row>
    <row r="63" spans="6:74" ht="15" customHeight="1" x14ac:dyDescent="0.25">
      <c r="G63" s="12"/>
      <c r="M63" s="15"/>
      <c r="N63" s="12"/>
      <c r="S63" s="12"/>
      <c r="T63" s="15"/>
      <c r="U63" s="12"/>
      <c r="V63" s="12"/>
      <c r="W63" s="12"/>
      <c r="Y63" s="15"/>
      <c r="Z63" s="6"/>
      <c r="AA63" s="15"/>
      <c r="AB63" s="12"/>
      <c r="AI63" s="12"/>
      <c r="AK63" s="14"/>
      <c r="AS63" s="14"/>
      <c r="AZ63" s="14"/>
      <c r="BA63" s="14"/>
      <c r="BK63" s="14"/>
      <c r="BU63" s="14"/>
      <c r="BV63" s="14"/>
    </row>
    <row r="64" spans="6:74" ht="15" customHeight="1" x14ac:dyDescent="0.25">
      <c r="G64" s="12"/>
      <c r="M64" s="15"/>
      <c r="N64" s="12"/>
      <c r="S64" s="12"/>
      <c r="T64" s="15"/>
      <c r="U64" s="12"/>
      <c r="V64" s="12"/>
      <c r="W64" s="12"/>
      <c r="Y64" s="16"/>
      <c r="Z64" s="6"/>
      <c r="AA64" s="15"/>
      <c r="AB64" s="12"/>
      <c r="AI64" s="12"/>
      <c r="AK64" s="14"/>
      <c r="AS64" s="17"/>
      <c r="AZ64" s="14"/>
      <c r="BA64" s="17"/>
      <c r="BK64" s="14"/>
      <c r="BU64" s="14"/>
      <c r="BV64" s="14"/>
    </row>
    <row r="65" spans="7:74" ht="15" customHeight="1" x14ac:dyDescent="0.25">
      <c r="G65" s="12"/>
      <c r="M65" s="16"/>
      <c r="N65" s="12"/>
      <c r="S65" s="12"/>
      <c r="T65" s="15"/>
      <c r="U65" s="12"/>
      <c r="V65" s="12"/>
      <c r="W65" s="12"/>
      <c r="Y65" s="16"/>
      <c r="Z65" s="6"/>
      <c r="AA65" s="15"/>
      <c r="AB65" s="12"/>
      <c r="AI65" s="12"/>
      <c r="AK65" s="14"/>
      <c r="AZ65" s="14"/>
      <c r="BK65" s="14"/>
      <c r="BU65" s="14"/>
      <c r="BV65" s="14"/>
    </row>
    <row r="66" spans="7:74" ht="15" customHeight="1" x14ac:dyDescent="0.25">
      <c r="G66" s="12"/>
      <c r="M66" s="15"/>
      <c r="N66" s="12"/>
      <c r="S66" s="12"/>
      <c r="T66" s="15"/>
      <c r="U66" s="12"/>
      <c r="V66" s="12"/>
      <c r="W66" s="12"/>
      <c r="Y66" s="16"/>
      <c r="Z66" s="6"/>
      <c r="AA66" s="15"/>
      <c r="AB66" s="12"/>
      <c r="AI66" s="13"/>
      <c r="AK66" s="14"/>
      <c r="AZ66" s="14"/>
      <c r="BK66" s="14"/>
      <c r="BU66" s="14"/>
      <c r="BV66" s="14"/>
    </row>
    <row r="67" spans="7:74" ht="15" customHeight="1" x14ac:dyDescent="0.25">
      <c r="G67" s="12"/>
      <c r="M67" s="15"/>
      <c r="N67" s="12"/>
      <c r="S67" s="12"/>
      <c r="T67" s="15"/>
      <c r="U67" s="12"/>
      <c r="V67" s="12"/>
      <c r="W67" s="12"/>
      <c r="Y67" s="15"/>
      <c r="Z67" s="6"/>
      <c r="AA67" s="15"/>
      <c r="AB67" s="12"/>
      <c r="AK67" s="14"/>
      <c r="AZ67" s="14"/>
      <c r="BK67" s="14"/>
      <c r="BU67" s="14"/>
      <c r="BV67" s="14"/>
    </row>
    <row r="68" spans="7:74" ht="15" customHeight="1" x14ac:dyDescent="0.25">
      <c r="G68" s="12"/>
      <c r="M68" s="15"/>
      <c r="N68" s="12"/>
      <c r="S68" s="12"/>
      <c r="T68" s="15"/>
      <c r="U68" s="12"/>
      <c r="V68" s="12"/>
      <c r="W68" s="12"/>
      <c r="Y68" s="15"/>
      <c r="Z68" s="6"/>
      <c r="AA68" s="15"/>
      <c r="AB68" s="12"/>
      <c r="AH68" s="19"/>
      <c r="AK68" s="14"/>
      <c r="AZ68" s="17"/>
      <c r="BK68" s="14"/>
      <c r="BU68" s="14"/>
      <c r="BV68" s="14"/>
    </row>
    <row r="69" spans="7:74" ht="15" customHeight="1" x14ac:dyDescent="0.25">
      <c r="G69" s="12"/>
      <c r="M69" s="15"/>
      <c r="N69" s="13"/>
      <c r="S69" s="12"/>
      <c r="T69" s="15"/>
      <c r="U69" s="12"/>
      <c r="V69" s="12"/>
      <c r="W69" s="12"/>
      <c r="Y69" s="15"/>
      <c r="Z69" s="7"/>
      <c r="AA69" s="16"/>
      <c r="AB69" s="13"/>
      <c r="AH69" s="19"/>
      <c r="AK69" s="14"/>
      <c r="AZ69" s="14"/>
      <c r="BK69" s="14"/>
      <c r="BU69" s="14"/>
      <c r="BV69" s="14"/>
    </row>
    <row r="70" spans="7:74" ht="15" customHeight="1" x14ac:dyDescent="0.25">
      <c r="G70" s="12"/>
      <c r="M70" s="15"/>
      <c r="N70" s="12"/>
      <c r="S70" s="12"/>
      <c r="T70" s="15"/>
      <c r="U70" s="12"/>
      <c r="V70" s="12"/>
      <c r="W70" s="12"/>
      <c r="Y70" s="15"/>
      <c r="AH70" s="19"/>
      <c r="AK70" s="17"/>
      <c r="AZ70" s="14"/>
      <c r="BK70" s="14"/>
      <c r="BU70" s="17"/>
      <c r="BV70" s="17"/>
    </row>
    <row r="71" spans="7:74" ht="15" customHeight="1" x14ac:dyDescent="0.25">
      <c r="G71" s="12"/>
      <c r="M71" s="15"/>
      <c r="N71" s="12"/>
      <c r="S71" s="12"/>
      <c r="T71" s="15"/>
      <c r="U71" s="12"/>
      <c r="V71" s="12"/>
      <c r="W71" s="12"/>
      <c r="Y71" s="15"/>
      <c r="AH71" s="19"/>
      <c r="AZ71" s="17"/>
      <c r="BK71" s="14"/>
      <c r="BU71" s="14"/>
      <c r="BV71" s="14"/>
    </row>
    <row r="72" spans="7:74" ht="15" customHeight="1" x14ac:dyDescent="0.25">
      <c r="G72" s="12"/>
      <c r="M72" s="15"/>
      <c r="N72" s="12"/>
      <c r="S72" s="12"/>
      <c r="T72" s="15"/>
      <c r="U72" s="12"/>
      <c r="V72" s="12"/>
      <c r="W72" s="12"/>
      <c r="Y72" s="15"/>
      <c r="AH72" s="19"/>
      <c r="BK72" s="14"/>
      <c r="BU72" s="14"/>
      <c r="BV72" s="14"/>
    </row>
    <row r="73" spans="7:74" ht="15" customHeight="1" x14ac:dyDescent="0.25">
      <c r="G73" s="12"/>
      <c r="M73" s="15"/>
      <c r="N73" s="12"/>
      <c r="S73" s="12"/>
      <c r="T73" s="15"/>
      <c r="U73" s="12"/>
      <c r="V73" s="12"/>
      <c r="W73" s="12"/>
      <c r="Y73" s="15"/>
      <c r="AH73" s="19"/>
      <c r="BK73" s="14"/>
      <c r="BU73" s="14"/>
      <c r="BV73" s="14"/>
    </row>
    <row r="74" spans="7:74" ht="15" customHeight="1" x14ac:dyDescent="0.25">
      <c r="G74" s="12"/>
      <c r="M74" s="15"/>
      <c r="N74" s="12"/>
      <c r="S74" s="12"/>
      <c r="T74" s="15"/>
      <c r="U74" s="12"/>
      <c r="V74" s="13"/>
      <c r="W74" s="13"/>
      <c r="Y74" s="15"/>
      <c r="AH74" s="19"/>
      <c r="BK74" s="17"/>
      <c r="BU74" s="14"/>
      <c r="BV74" s="14"/>
    </row>
    <row r="75" spans="7:74" ht="15" customHeight="1" x14ac:dyDescent="0.25">
      <c r="G75" s="12"/>
      <c r="M75" s="15"/>
      <c r="N75" s="12"/>
      <c r="S75" s="12"/>
      <c r="T75" s="15"/>
      <c r="U75" s="12"/>
      <c r="Y75" s="16"/>
      <c r="AH75" s="20"/>
      <c r="BU75" s="17"/>
      <c r="BV75" s="17"/>
    </row>
    <row r="76" spans="7:74" ht="15" customHeight="1" x14ac:dyDescent="0.25">
      <c r="G76" s="12"/>
      <c r="M76" s="15"/>
      <c r="N76" s="12"/>
      <c r="S76" s="12"/>
      <c r="T76" s="15"/>
      <c r="U76" s="13"/>
    </row>
    <row r="77" spans="7:74" ht="15" customHeight="1" x14ac:dyDescent="0.25">
      <c r="G77" s="12"/>
      <c r="M77" s="15"/>
      <c r="N77" s="12"/>
      <c r="S77" s="13"/>
      <c r="T77" s="16"/>
    </row>
    <row r="78" spans="7:74" ht="15" customHeight="1" x14ac:dyDescent="0.25">
      <c r="G78" s="12"/>
      <c r="M78" s="15"/>
      <c r="N78" s="12"/>
    </row>
    <row r="79" spans="7:74" ht="15" customHeight="1" x14ac:dyDescent="0.25">
      <c r="G79" s="12"/>
      <c r="M79" s="15"/>
      <c r="N79" s="12"/>
    </row>
    <row r="80" spans="7:74" ht="15" customHeight="1" x14ac:dyDescent="0.25">
      <c r="G80" s="12"/>
      <c r="M80" s="15"/>
      <c r="N80" s="12"/>
    </row>
    <row r="81" spans="7:14" ht="15" customHeight="1" x14ac:dyDescent="0.25">
      <c r="G81" s="12"/>
      <c r="M81" s="15"/>
      <c r="N81" s="12"/>
    </row>
    <row r="82" spans="7:14" ht="15" customHeight="1" x14ac:dyDescent="0.25">
      <c r="G82" s="13"/>
      <c r="M82" s="15"/>
      <c r="N82" s="12"/>
    </row>
    <row r="83" spans="7:14" ht="15" customHeight="1" x14ac:dyDescent="0.25">
      <c r="M83" s="16"/>
      <c r="N83" s="12"/>
    </row>
    <row r="84" spans="7:14" ht="15" customHeight="1" x14ac:dyDescent="0.25">
      <c r="N84" s="12"/>
    </row>
    <row r="85" spans="7:14" ht="15" customHeight="1" x14ac:dyDescent="0.25">
      <c r="N85" s="12"/>
    </row>
    <row r="86" spans="7:14" ht="15" customHeight="1" x14ac:dyDescent="0.25">
      <c r="N86" s="12"/>
    </row>
    <row r="87" spans="7:14" ht="15" customHeight="1" x14ac:dyDescent="0.25">
      <c r="N87" s="12"/>
    </row>
    <row r="88" spans="7:14" ht="15" customHeight="1" x14ac:dyDescent="0.25">
      <c r="N88" s="12"/>
    </row>
    <row r="89" spans="7:14" ht="15" customHeight="1" x14ac:dyDescent="0.25">
      <c r="N89" s="12"/>
    </row>
    <row r="90" spans="7:14" ht="15" customHeight="1" x14ac:dyDescent="0.25">
      <c r="N90" s="12"/>
    </row>
    <row r="91" spans="7:14" ht="15" customHeight="1" x14ac:dyDescent="0.25">
      <c r="N91" s="12"/>
    </row>
    <row r="92" spans="7:14" ht="15" customHeight="1" x14ac:dyDescent="0.25">
      <c r="N92" s="12"/>
    </row>
    <row r="93" spans="7:14" ht="15" customHeight="1" x14ac:dyDescent="0.25">
      <c r="N93" s="1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8838-64B8-47C5-ADE7-427E754C8339}">
  <dimension ref="A1:K348"/>
  <sheetViews>
    <sheetView topLeftCell="A88" workbookViewId="0">
      <selection activeCell="H148" sqref="H148"/>
    </sheetView>
  </sheetViews>
  <sheetFormatPr defaultRowHeight="15" x14ac:dyDescent="0.25"/>
  <cols>
    <col min="3" max="3" width="31.42578125" customWidth="1"/>
    <col min="4" max="4" width="9.85546875" style="4" bestFit="1" customWidth="1"/>
    <col min="8" max="9" width="9.5703125" style="3" bestFit="1" customWidth="1"/>
  </cols>
  <sheetData>
    <row r="1" spans="1:9" x14ac:dyDescent="0.25">
      <c r="A1" t="s">
        <v>47</v>
      </c>
    </row>
    <row r="2" spans="1:9" x14ac:dyDescent="0.25">
      <c r="B2" t="s">
        <v>49</v>
      </c>
    </row>
    <row r="3" spans="1:9" x14ac:dyDescent="0.25">
      <c r="A3" t="s">
        <v>39</v>
      </c>
      <c r="C3" t="s">
        <v>42</v>
      </c>
      <c r="D3" s="4" t="s">
        <v>43</v>
      </c>
      <c r="E3" t="s">
        <v>44</v>
      </c>
      <c r="F3" t="s">
        <v>45</v>
      </c>
      <c r="G3" t="s">
        <v>46</v>
      </c>
      <c r="H3" s="3" t="s">
        <v>8</v>
      </c>
      <c r="I3" s="3" t="s">
        <v>55</v>
      </c>
    </row>
    <row r="4" spans="1:9" x14ac:dyDescent="0.25">
      <c r="C4" t="s">
        <v>0</v>
      </c>
      <c r="D4" s="4">
        <v>4.2181530822999997</v>
      </c>
      <c r="E4">
        <v>2.3467725599999999E-2</v>
      </c>
      <c r="F4">
        <v>179.74273051</v>
      </c>
      <c r="G4">
        <v>2568.7420000000002</v>
      </c>
      <c r="H4" s="3">
        <v>0</v>
      </c>
      <c r="I4" s="3">
        <f>(EXP(D4)-1)*100</f>
        <v>6690.7948006369206</v>
      </c>
    </row>
    <row r="5" spans="1:9" x14ac:dyDescent="0.25">
      <c r="C5" t="s">
        <v>1</v>
      </c>
      <c r="D5" s="5">
        <v>8.3302575000000004E-3</v>
      </c>
      <c r="E5">
        <v>3.0798614999999999E-3</v>
      </c>
      <c r="F5">
        <v>2.7047506700000001</v>
      </c>
      <c r="G5">
        <v>2568.7420000000002</v>
      </c>
      <c r="H5" s="3">
        <v>6.8806750000000002E-3</v>
      </c>
      <c r="I5" s="3">
        <f t="shared" ref="I5:I68" si="0">(EXP(D5)-1)*100</f>
        <v>0.83650506398420532</v>
      </c>
    </row>
    <row r="6" spans="1:9" x14ac:dyDescent="0.25">
      <c r="C6" t="s">
        <v>2</v>
      </c>
      <c r="D6" s="5">
        <v>-0.10907678680000001</v>
      </c>
      <c r="E6">
        <v>1.16852081E-2</v>
      </c>
      <c r="F6">
        <v>-9.3346037099999997</v>
      </c>
      <c r="G6">
        <v>2568.7420000000002</v>
      </c>
      <c r="H6" s="3">
        <v>0</v>
      </c>
      <c r="I6" s="3">
        <f t="shared" si="0"/>
        <v>-10.333843691739798</v>
      </c>
    </row>
    <row r="7" spans="1:9" x14ac:dyDescent="0.25">
      <c r="C7" t="s">
        <v>3</v>
      </c>
      <c r="D7" s="5">
        <v>-1.0015045E-3</v>
      </c>
      <c r="E7">
        <v>4.827233E-4</v>
      </c>
      <c r="F7">
        <v>-2.0746969900000001</v>
      </c>
      <c r="G7">
        <v>2568.7420000000002</v>
      </c>
      <c r="H7" s="3">
        <v>3.8113979999999999E-2</v>
      </c>
      <c r="I7" s="3">
        <f t="shared" si="0"/>
        <v>-0.10010031617463389</v>
      </c>
    </row>
    <row r="8" spans="1:9" x14ac:dyDescent="0.25">
      <c r="C8" t="s">
        <v>4</v>
      </c>
      <c r="D8" s="5">
        <v>-2.7781769999999999E-4</v>
      </c>
      <c r="E8">
        <v>3.2167361E-3</v>
      </c>
      <c r="F8">
        <v>-8.6366349999999995E-2</v>
      </c>
      <c r="G8">
        <v>2568.7420000000002</v>
      </c>
      <c r="H8" s="3">
        <v>0.93118190000000001</v>
      </c>
      <c r="I8" s="3">
        <f t="shared" si="0"/>
        <v>-2.7777911223636487E-2</v>
      </c>
    </row>
    <row r="9" spans="1:9" x14ac:dyDescent="0.25">
      <c r="C9" t="s">
        <v>5</v>
      </c>
      <c r="D9" s="5">
        <v>1.7588556599999999E-2</v>
      </c>
      <c r="E9">
        <v>1.6726805300000001E-2</v>
      </c>
      <c r="F9">
        <v>1.0515191800000001</v>
      </c>
      <c r="G9">
        <v>2568.7420000000002</v>
      </c>
      <c r="H9" s="3">
        <v>0.29311910000000002</v>
      </c>
      <c r="I9" s="3">
        <f t="shared" si="0"/>
        <v>1.774414612141717</v>
      </c>
    </row>
    <row r="10" spans="1:9" x14ac:dyDescent="0.25">
      <c r="C10" t="s">
        <v>9</v>
      </c>
      <c r="D10" s="5">
        <v>1.27132524E-2</v>
      </c>
      <c r="E10">
        <v>1.1089575900000001E-2</v>
      </c>
      <c r="F10">
        <v>1.14641466</v>
      </c>
      <c r="G10">
        <v>2568.7420000000002</v>
      </c>
      <c r="H10" s="3">
        <v>0.25173040000000002</v>
      </c>
      <c r="I10" s="3">
        <f t="shared" si="0"/>
        <v>1.2794409351555958</v>
      </c>
    </row>
    <row r="11" spans="1:9" x14ac:dyDescent="0.25">
      <c r="C11" t="s">
        <v>6</v>
      </c>
      <c r="D11" s="5">
        <v>8.3231535999999991E-3</v>
      </c>
      <c r="E11">
        <v>2.59753055E-2</v>
      </c>
      <c r="F11">
        <v>0.32042563000000002</v>
      </c>
      <c r="G11">
        <v>2568.7420000000002</v>
      </c>
      <c r="H11" s="3">
        <v>0.7486718</v>
      </c>
      <c r="I11" s="3">
        <f t="shared" si="0"/>
        <v>0.83578873408025611</v>
      </c>
    </row>
    <row r="12" spans="1:9" x14ac:dyDescent="0.25">
      <c r="C12" t="s">
        <v>7</v>
      </c>
      <c r="D12" s="5">
        <v>-3.8987278799999997E-2</v>
      </c>
      <c r="E12">
        <v>7.0616059999999998E-3</v>
      </c>
      <c r="F12">
        <v>-5.5210215399999996</v>
      </c>
      <c r="G12">
        <v>2568.7420000000002</v>
      </c>
      <c r="H12" s="3">
        <v>3.7082279999999997E-8</v>
      </c>
      <c r="I12" s="3">
        <f t="shared" si="0"/>
        <v>-3.8237056152692239</v>
      </c>
    </row>
    <row r="13" spans="1:9" x14ac:dyDescent="0.25">
      <c r="I13" s="3">
        <f t="shared" si="0"/>
        <v>0</v>
      </c>
    </row>
    <row r="14" spans="1:9" x14ac:dyDescent="0.25">
      <c r="A14" t="s">
        <v>51</v>
      </c>
      <c r="C14" t="s">
        <v>42</v>
      </c>
      <c r="D14" s="4" t="s">
        <v>43</v>
      </c>
      <c r="E14" t="s">
        <v>44</v>
      </c>
      <c r="F14" t="s">
        <v>45</v>
      </c>
      <c r="G14" t="s">
        <v>46</v>
      </c>
      <c r="H14" s="3" t="s">
        <v>8</v>
      </c>
      <c r="I14" s="3" t="e">
        <f t="shared" si="0"/>
        <v>#VALUE!</v>
      </c>
    </row>
    <row r="15" spans="1:9" x14ac:dyDescent="0.25">
      <c r="C15" t="s">
        <v>0</v>
      </c>
      <c r="D15" s="4">
        <v>4.3013239737999998</v>
      </c>
      <c r="E15">
        <v>3.8743677400000003E-2</v>
      </c>
      <c r="F15">
        <v>111.02002340999999</v>
      </c>
      <c r="G15">
        <v>2107.79</v>
      </c>
      <c r="H15" s="3">
        <v>0</v>
      </c>
      <c r="I15" s="3">
        <f t="shared" si="0"/>
        <v>7279.7434918464251</v>
      </c>
    </row>
    <row r="16" spans="1:9" x14ac:dyDescent="0.25">
      <c r="C16" t="s">
        <v>1</v>
      </c>
      <c r="D16" s="4">
        <v>7.4173742999999997E-3</v>
      </c>
      <c r="E16">
        <v>3.7036922999999999E-3</v>
      </c>
      <c r="F16">
        <v>2.0026972500000002</v>
      </c>
      <c r="G16">
        <v>2107.79</v>
      </c>
      <c r="H16" s="3">
        <v>4.5337660000000002E-2</v>
      </c>
      <c r="I16" s="3">
        <f t="shared" si="0"/>
        <v>0.74449511612215691</v>
      </c>
    </row>
    <row r="17" spans="3:9" x14ac:dyDescent="0.25">
      <c r="C17" t="s">
        <v>2</v>
      </c>
      <c r="D17" s="4">
        <v>-0.1037747045</v>
      </c>
      <c r="E17">
        <v>1.3807546800000001E-2</v>
      </c>
      <c r="F17">
        <v>-7.5157959600000002</v>
      </c>
      <c r="G17">
        <v>2107.79</v>
      </c>
      <c r="H17" s="3">
        <v>8.3044679999999996E-14</v>
      </c>
      <c r="I17" s="3">
        <f t="shared" si="0"/>
        <v>-9.8571637700857409</v>
      </c>
    </row>
    <row r="18" spans="3:9" x14ac:dyDescent="0.25">
      <c r="C18" t="s">
        <v>3</v>
      </c>
      <c r="D18" s="4">
        <v>-1.344093E-3</v>
      </c>
      <c r="E18">
        <v>5.592409E-4</v>
      </c>
      <c r="F18">
        <v>-2.4034238399999999</v>
      </c>
      <c r="G18">
        <v>2107.79</v>
      </c>
      <c r="H18" s="3">
        <v>1.6328240000000001E-2</v>
      </c>
      <c r="I18" s="3">
        <f t="shared" si="0"/>
        <v>-0.13431901115710243</v>
      </c>
    </row>
    <row r="19" spans="3:9" x14ac:dyDescent="0.25">
      <c r="C19" t="s">
        <v>4</v>
      </c>
      <c r="D19" s="4">
        <v>-7.0469670000000001E-4</v>
      </c>
      <c r="E19">
        <v>3.7946059999999998E-3</v>
      </c>
      <c r="F19">
        <v>-0.18571009999999999</v>
      </c>
      <c r="G19">
        <v>2107.79</v>
      </c>
      <c r="H19" s="3">
        <v>0.85268999999999995</v>
      </c>
      <c r="I19" s="3">
        <f t="shared" si="0"/>
        <v>-7.0444845959527491E-2</v>
      </c>
    </row>
    <row r="20" spans="3:9" x14ac:dyDescent="0.25">
      <c r="C20" t="s">
        <v>5</v>
      </c>
      <c r="D20" s="4">
        <v>1.79778547E-2</v>
      </c>
      <c r="E20">
        <v>2.0104265900000001E-2</v>
      </c>
      <c r="F20">
        <v>0.89423083999999997</v>
      </c>
      <c r="G20">
        <v>2107.79</v>
      </c>
      <c r="H20" s="3">
        <v>0.37130049999999998</v>
      </c>
      <c r="I20" s="3">
        <f t="shared" si="0"/>
        <v>1.8140429114891665</v>
      </c>
    </row>
    <row r="21" spans="3:9" x14ac:dyDescent="0.25">
      <c r="C21" t="s">
        <v>9</v>
      </c>
      <c r="D21" s="4">
        <v>1.64299943E-2</v>
      </c>
      <c r="E21">
        <v>1.21123098E-2</v>
      </c>
      <c r="F21">
        <v>1.35647077</v>
      </c>
      <c r="G21">
        <v>2107.79</v>
      </c>
      <c r="H21" s="3">
        <v>0.17509469999999999</v>
      </c>
      <c r="I21" s="3">
        <f t="shared" si="0"/>
        <v>1.6565708900958098</v>
      </c>
    </row>
    <row r="22" spans="3:9" x14ac:dyDescent="0.25">
      <c r="C22" t="s">
        <v>6</v>
      </c>
      <c r="D22" s="4">
        <v>-1.38139813E-2</v>
      </c>
      <c r="E22">
        <v>3.5918967199999999E-2</v>
      </c>
      <c r="F22">
        <v>-0.38458737999999998</v>
      </c>
      <c r="G22">
        <v>2107.79</v>
      </c>
      <c r="H22" s="3">
        <v>0.70058189999999998</v>
      </c>
      <c r="I22" s="3">
        <f t="shared" si="0"/>
        <v>-1.3719006091877817</v>
      </c>
    </row>
    <row r="23" spans="3:9" x14ac:dyDescent="0.25">
      <c r="C23" t="s">
        <v>7</v>
      </c>
      <c r="D23" s="4">
        <v>-3.1814671900000001E-2</v>
      </c>
      <c r="E23">
        <v>7.8732925999999998E-3</v>
      </c>
      <c r="F23">
        <v>-4.0408344300000003</v>
      </c>
      <c r="G23">
        <v>2107.79</v>
      </c>
      <c r="H23" s="3">
        <v>5.5171740000000002E-5</v>
      </c>
      <c r="I23" s="3">
        <f t="shared" si="0"/>
        <v>-3.131390980267279</v>
      </c>
    </row>
    <row r="24" spans="3:9" x14ac:dyDescent="0.25">
      <c r="I24" s="3">
        <f t="shared" si="0"/>
        <v>0</v>
      </c>
    </row>
    <row r="25" spans="3:9" x14ac:dyDescent="0.25">
      <c r="C25" t="s">
        <v>10</v>
      </c>
      <c r="D25" s="4">
        <v>-3.2525435800000002E-2</v>
      </c>
      <c r="E25">
        <v>2.4790356699999998E-2</v>
      </c>
      <c r="F25">
        <v>-1.3120196799999999</v>
      </c>
      <c r="G25">
        <v>2107.79</v>
      </c>
      <c r="H25" s="3">
        <v>0.1896564</v>
      </c>
      <c r="I25" s="3">
        <f t="shared" si="0"/>
        <v>-3.2002172280980457</v>
      </c>
    </row>
    <row r="26" spans="3:9" x14ac:dyDescent="0.25">
      <c r="C26" t="s">
        <v>11</v>
      </c>
      <c r="D26" s="4">
        <v>-4.3065957199999998E-2</v>
      </c>
      <c r="E26">
        <v>2.2899856499999999E-2</v>
      </c>
      <c r="F26">
        <v>-1.88062127</v>
      </c>
      <c r="G26">
        <v>2107.79</v>
      </c>
      <c r="H26" s="3">
        <v>6.0161230000000003E-2</v>
      </c>
      <c r="I26" s="3">
        <f t="shared" si="0"/>
        <v>-4.2151789002526137</v>
      </c>
    </row>
    <row r="27" spans="3:9" x14ac:dyDescent="0.25">
      <c r="C27" t="s">
        <v>12</v>
      </c>
      <c r="D27" s="4">
        <v>-3.4627568800000001E-2</v>
      </c>
      <c r="E27">
        <v>2.86678657E-2</v>
      </c>
      <c r="F27">
        <v>-1.2078879300000001</v>
      </c>
      <c r="G27">
        <v>2107.79</v>
      </c>
      <c r="H27" s="3">
        <v>0.22722590000000001</v>
      </c>
      <c r="I27" s="3">
        <f t="shared" si="0"/>
        <v>-3.4034895183066904</v>
      </c>
    </row>
    <row r="28" spans="3:9" x14ac:dyDescent="0.25">
      <c r="C28" t="s">
        <v>13</v>
      </c>
      <c r="D28" s="4">
        <v>-2.6459207200000001E-2</v>
      </c>
      <c r="E28">
        <v>4.2286136500000002E-2</v>
      </c>
      <c r="F28">
        <v>-0.62571825000000003</v>
      </c>
      <c r="G28">
        <v>2107.79</v>
      </c>
      <c r="H28" s="3">
        <v>0.53156749999999997</v>
      </c>
      <c r="I28" s="3">
        <f t="shared" si="0"/>
        <v>-2.6112229365704231</v>
      </c>
    </row>
    <row r="29" spans="3:9" x14ac:dyDescent="0.25">
      <c r="C29" t="s">
        <v>14</v>
      </c>
      <c r="D29" s="4">
        <v>-7.1945968400000004E-2</v>
      </c>
      <c r="E29">
        <v>3.1118099900000001E-2</v>
      </c>
      <c r="F29">
        <v>-2.3120296100000002</v>
      </c>
      <c r="G29">
        <v>2107.79</v>
      </c>
      <c r="H29" s="3">
        <v>2.087201E-2</v>
      </c>
      <c r="I29" s="3">
        <f t="shared" si="0"/>
        <v>-6.941882475731731</v>
      </c>
    </row>
    <row r="30" spans="3:9" x14ac:dyDescent="0.25">
      <c r="C30" t="s">
        <v>15</v>
      </c>
      <c r="D30" s="4">
        <v>-9.3196588299999994E-2</v>
      </c>
      <c r="E30">
        <v>2.30688782E-2</v>
      </c>
      <c r="F30">
        <v>-4.0399271900000002</v>
      </c>
      <c r="G30">
        <v>2107.79</v>
      </c>
      <c r="H30" s="3">
        <v>5.5383929999999999E-5</v>
      </c>
      <c r="I30" s="3">
        <f t="shared" si="0"/>
        <v>-8.8985612078778189</v>
      </c>
    </row>
    <row r="31" spans="3:9" x14ac:dyDescent="0.25">
      <c r="C31" t="s">
        <v>16</v>
      </c>
      <c r="D31" s="4">
        <v>-3.6139213699999999E-2</v>
      </c>
      <c r="E31">
        <v>2.6351076099999999E-2</v>
      </c>
      <c r="F31">
        <v>-1.37145115</v>
      </c>
      <c r="G31">
        <v>2107.79</v>
      </c>
      <c r="H31" s="3">
        <v>0.17038030000000001</v>
      </c>
      <c r="I31" s="3">
        <f t="shared" si="0"/>
        <v>-3.549398831415207</v>
      </c>
    </row>
    <row r="32" spans="3:9" x14ac:dyDescent="0.25">
      <c r="C32" t="s">
        <v>17</v>
      </c>
      <c r="D32" s="4">
        <v>-9.7822323799999999E-2</v>
      </c>
      <c r="E32">
        <v>3.1007697899999999E-2</v>
      </c>
      <c r="F32">
        <v>-3.1547754399999999</v>
      </c>
      <c r="G32">
        <v>2107.79</v>
      </c>
      <c r="H32" s="3">
        <v>1.6288679999999999E-3</v>
      </c>
      <c r="I32" s="3">
        <f t="shared" si="0"/>
        <v>-9.3189992002354778</v>
      </c>
    </row>
    <row r="33" spans="1:9" x14ac:dyDescent="0.25">
      <c r="C33" t="s">
        <v>18</v>
      </c>
      <c r="D33" s="4">
        <v>-7.3353559999999998E-2</v>
      </c>
      <c r="E33">
        <v>2.7124174399999999E-2</v>
      </c>
      <c r="F33">
        <v>-2.7043610199999999</v>
      </c>
      <c r="G33">
        <v>2107.79</v>
      </c>
      <c r="H33" s="3">
        <v>6.8986150000000003E-3</v>
      </c>
      <c r="I33" s="3">
        <f t="shared" si="0"/>
        <v>-7.0727781548293951</v>
      </c>
    </row>
    <row r="34" spans="1:9" x14ac:dyDescent="0.25">
      <c r="I34" s="3">
        <f t="shared" si="0"/>
        <v>0</v>
      </c>
    </row>
    <row r="35" spans="1:9" x14ac:dyDescent="0.25">
      <c r="C35" t="s">
        <v>24</v>
      </c>
      <c r="D35" s="4">
        <v>-3.1927475599999998E-2</v>
      </c>
      <c r="E35">
        <v>0.1091072745</v>
      </c>
      <c r="F35">
        <v>-0.29262463</v>
      </c>
      <c r="G35">
        <v>2107.79</v>
      </c>
      <c r="H35" s="3">
        <v>0.76983789999999996</v>
      </c>
      <c r="I35" s="3">
        <f t="shared" si="0"/>
        <v>-3.1423175014909543</v>
      </c>
    </row>
    <row r="36" spans="1:9" x14ac:dyDescent="0.25">
      <c r="C36" t="s">
        <v>25</v>
      </c>
      <c r="D36" s="4">
        <v>-9.9329757000000008E-3</v>
      </c>
      <c r="E36">
        <v>1.5522320399999999E-2</v>
      </c>
      <c r="F36">
        <v>-0.63991564999999995</v>
      </c>
      <c r="G36">
        <v>2107.79</v>
      </c>
      <c r="H36" s="3">
        <v>0.52229700000000001</v>
      </c>
      <c r="I36" s="3">
        <f t="shared" si="0"/>
        <v>-0.98838066299310467</v>
      </c>
    </row>
    <row r="37" spans="1:9" x14ac:dyDescent="0.25">
      <c r="C37" t="s">
        <v>26</v>
      </c>
      <c r="D37" s="4">
        <v>-1.7439572E-3</v>
      </c>
      <c r="E37">
        <v>2.2526099000000001E-2</v>
      </c>
      <c r="F37">
        <v>-7.7419409999999994E-2</v>
      </c>
      <c r="G37">
        <v>2107.79</v>
      </c>
      <c r="H37" s="3">
        <v>0.9382973</v>
      </c>
      <c r="I37" s="3">
        <f t="shared" si="0"/>
        <v>-0.17424373902650281</v>
      </c>
    </row>
    <row r="38" spans="1:9" x14ac:dyDescent="0.25">
      <c r="C38" t="s">
        <v>27</v>
      </c>
      <c r="D38" s="4">
        <v>-1.8481653300000001E-2</v>
      </c>
      <c r="E38">
        <v>1.4911319899999999E-2</v>
      </c>
      <c r="F38">
        <v>-1.23943779</v>
      </c>
      <c r="G38">
        <v>2107.79</v>
      </c>
      <c r="H38" s="3">
        <v>0.2153214</v>
      </c>
      <c r="I38" s="3">
        <f t="shared" si="0"/>
        <v>-1.8311914836634191</v>
      </c>
    </row>
    <row r="39" spans="1:9" x14ac:dyDescent="0.25">
      <c r="C39" t="s">
        <v>28</v>
      </c>
      <c r="D39" s="4">
        <v>-3.9280038500000003E-2</v>
      </c>
      <c r="E39">
        <v>2.3465607999999999E-2</v>
      </c>
      <c r="F39">
        <v>-1.6739407900000001</v>
      </c>
      <c r="G39">
        <v>2107.79</v>
      </c>
      <c r="H39" s="3">
        <v>9.4290600000000002E-2</v>
      </c>
      <c r="I39" s="3">
        <f t="shared" si="0"/>
        <v>-3.8518580372120304</v>
      </c>
    </row>
    <row r="40" spans="1:9" x14ac:dyDescent="0.25">
      <c r="C40" t="s">
        <v>29</v>
      </c>
      <c r="D40" s="4">
        <v>-1.01927605E-2</v>
      </c>
      <c r="E40">
        <v>1.4443061E-2</v>
      </c>
      <c r="F40">
        <v>-0.70572024</v>
      </c>
      <c r="G40">
        <v>2107.79</v>
      </c>
      <c r="H40" s="3">
        <v>0.48044009999999998</v>
      </c>
      <c r="I40" s="3">
        <f t="shared" si="0"/>
        <v>-1.0140990359544189</v>
      </c>
    </row>
    <row r="41" spans="1:9" x14ac:dyDescent="0.25">
      <c r="A41" t="s">
        <v>50</v>
      </c>
      <c r="I41" s="3">
        <f t="shared" si="0"/>
        <v>0</v>
      </c>
    </row>
    <row r="42" spans="1:9" x14ac:dyDescent="0.25">
      <c r="C42" t="s">
        <v>42</v>
      </c>
      <c r="D42" s="4" t="s">
        <v>43</v>
      </c>
      <c r="E42" t="s">
        <v>44</v>
      </c>
      <c r="F42" t="s">
        <v>45</v>
      </c>
      <c r="G42" t="s">
        <v>46</v>
      </c>
      <c r="H42" s="3" t="s">
        <v>8</v>
      </c>
      <c r="I42" s="3" t="e">
        <f t="shared" si="0"/>
        <v>#VALUE!</v>
      </c>
    </row>
    <row r="43" spans="1:9" x14ac:dyDescent="0.25">
      <c r="C43" t="s">
        <v>0</v>
      </c>
      <c r="D43" s="4">
        <v>-25.827356319</v>
      </c>
      <c r="E43" s="1">
        <v>17.76904</v>
      </c>
      <c r="F43">
        <v>-1.4535031</v>
      </c>
      <c r="G43">
        <v>2095.7910000000002</v>
      </c>
      <c r="H43" s="3">
        <v>0.1462338</v>
      </c>
      <c r="I43" s="3">
        <f t="shared" si="0"/>
        <v>-99.999999999392813</v>
      </c>
    </row>
    <row r="44" spans="1:9" x14ac:dyDescent="0.25">
      <c r="C44" t="s">
        <v>1</v>
      </c>
      <c r="D44" s="4">
        <v>6.3179159999999998E-3</v>
      </c>
      <c r="E44" s="1">
        <v>3.6886509999999998E-3</v>
      </c>
      <c r="F44">
        <v>1.7127985999999999</v>
      </c>
      <c r="G44">
        <v>2095.7910000000002</v>
      </c>
      <c r="H44" s="3">
        <v>8.6897509999999997E-2</v>
      </c>
      <c r="I44" s="3">
        <f t="shared" si="0"/>
        <v>0.63379161288177333</v>
      </c>
    </row>
    <row r="45" spans="1:9" x14ac:dyDescent="0.25">
      <c r="C45" t="s">
        <v>2</v>
      </c>
      <c r="D45" s="4">
        <v>-0.108204429</v>
      </c>
      <c r="E45" s="1">
        <v>1.3772609999999999E-2</v>
      </c>
      <c r="F45">
        <v>-7.8564958000000003</v>
      </c>
      <c r="G45">
        <v>2095.7910000000002</v>
      </c>
      <c r="H45" s="3">
        <v>6.217249E-15</v>
      </c>
      <c r="I45" s="3">
        <f t="shared" si="0"/>
        <v>-10.255588592627952</v>
      </c>
    </row>
    <row r="46" spans="1:9" x14ac:dyDescent="0.25">
      <c r="C46" t="s">
        <v>3</v>
      </c>
      <c r="D46" s="4">
        <v>-1.424544E-3</v>
      </c>
      <c r="E46" s="1">
        <v>5.6341119999999995E-4</v>
      </c>
      <c r="F46">
        <v>-2.5284277999999998</v>
      </c>
      <c r="G46">
        <v>2095.7910000000002</v>
      </c>
      <c r="H46" s="3">
        <v>1.153033E-2</v>
      </c>
      <c r="I46" s="3">
        <f t="shared" si="0"/>
        <v>-0.14235298188350898</v>
      </c>
    </row>
    <row r="47" spans="1:9" x14ac:dyDescent="0.25">
      <c r="C47" t="s">
        <v>4</v>
      </c>
      <c r="D47" s="4">
        <v>-1.346018E-3</v>
      </c>
      <c r="E47" s="1">
        <v>3.8222680000000002E-3</v>
      </c>
      <c r="F47">
        <v>-0.35215160000000001</v>
      </c>
      <c r="G47">
        <v>2095.7910000000002</v>
      </c>
      <c r="H47" s="3">
        <v>0.72475999999999996</v>
      </c>
      <c r="I47" s="3">
        <f t="shared" si="0"/>
        <v>-0.13451125240796502</v>
      </c>
    </row>
    <row r="48" spans="1:9" x14ac:dyDescent="0.25">
      <c r="C48" t="s">
        <v>5</v>
      </c>
      <c r="D48" s="4">
        <v>2.1799120000000002E-2</v>
      </c>
      <c r="E48" s="1">
        <v>2.0098919999999999E-2</v>
      </c>
      <c r="F48">
        <v>1.0845914000000001</v>
      </c>
      <c r="G48">
        <v>2095.7910000000002</v>
      </c>
      <c r="H48" s="3">
        <v>0.27822740000000001</v>
      </c>
      <c r="I48" s="3">
        <f t="shared" si="0"/>
        <v>2.2038456762819125</v>
      </c>
    </row>
    <row r="49" spans="3:9" x14ac:dyDescent="0.25">
      <c r="C49" t="s">
        <v>9</v>
      </c>
      <c r="D49" s="4">
        <v>1.5864764999999999E-2</v>
      </c>
      <c r="E49" s="1">
        <v>1.212062E-2</v>
      </c>
      <c r="F49">
        <v>1.3089074000000001</v>
      </c>
      <c r="G49">
        <v>2095.7910000000002</v>
      </c>
      <c r="H49" s="3">
        <v>0.1907092</v>
      </c>
      <c r="I49" s="3">
        <f t="shared" si="0"/>
        <v>1.599127853464255</v>
      </c>
    </row>
    <row r="50" spans="3:9" x14ac:dyDescent="0.25">
      <c r="C50" t="s">
        <v>6</v>
      </c>
      <c r="D50" s="4">
        <v>-1.8970553000000001E-2</v>
      </c>
      <c r="E50" s="1">
        <v>3.7807350000000003E-2</v>
      </c>
      <c r="F50">
        <v>-0.50176900000000002</v>
      </c>
      <c r="G50">
        <v>2095.7910000000002</v>
      </c>
      <c r="H50" s="3">
        <v>0.61588270000000001</v>
      </c>
      <c r="I50" s="3">
        <f t="shared" si="0"/>
        <v>-1.8791744543106836</v>
      </c>
    </row>
    <row r="51" spans="3:9" x14ac:dyDescent="0.25">
      <c r="C51" t="s">
        <v>7</v>
      </c>
      <c r="D51" s="4">
        <v>-3.1243363999999999E-2</v>
      </c>
      <c r="E51" s="1">
        <v>7.8611810000000001E-3</v>
      </c>
      <c r="F51">
        <v>-3.9743852999999998</v>
      </c>
      <c r="G51">
        <v>2095.7910000000002</v>
      </c>
      <c r="H51" s="3">
        <v>7.2949789999999997E-5</v>
      </c>
      <c r="I51" s="3">
        <f t="shared" si="0"/>
        <v>-3.0760333670571072</v>
      </c>
    </row>
    <row r="52" spans="3:9" x14ac:dyDescent="0.25">
      <c r="E52" s="1"/>
      <c r="I52" s="3">
        <f t="shared" si="0"/>
        <v>0</v>
      </c>
    </row>
    <row r="53" spans="3:9" x14ac:dyDescent="0.25">
      <c r="C53" t="s">
        <v>10</v>
      </c>
      <c r="D53" s="4">
        <v>-3.4558079999999998E-2</v>
      </c>
      <c r="E53" s="1">
        <v>2.4885310000000001E-2</v>
      </c>
      <c r="F53">
        <v>-1.3886938</v>
      </c>
      <c r="G53">
        <v>2095.7910000000002</v>
      </c>
      <c r="H53" s="3">
        <v>0.16507340000000001</v>
      </c>
      <c r="I53" s="3">
        <f t="shared" si="0"/>
        <v>-3.3967769094862654</v>
      </c>
    </row>
    <row r="54" spans="3:9" x14ac:dyDescent="0.25">
      <c r="C54" t="s">
        <v>11</v>
      </c>
      <c r="D54" s="4">
        <v>-4.7547699999999998E-2</v>
      </c>
      <c r="E54" s="1">
        <v>2.34883E-2</v>
      </c>
      <c r="F54">
        <v>-2.0243142000000001</v>
      </c>
      <c r="G54">
        <v>2095.7910000000002</v>
      </c>
      <c r="H54" s="3">
        <v>4.3064449999999997E-2</v>
      </c>
      <c r="I54" s="3">
        <f t="shared" si="0"/>
        <v>-4.6435013002089187</v>
      </c>
    </row>
    <row r="55" spans="3:9" x14ac:dyDescent="0.25">
      <c r="C55" t="s">
        <v>12</v>
      </c>
      <c r="D55" s="4">
        <v>-4.0917262000000003E-2</v>
      </c>
      <c r="E55" s="1">
        <v>2.9181499999999999E-2</v>
      </c>
      <c r="F55">
        <v>-1.4021642999999999</v>
      </c>
      <c r="G55">
        <v>2095.7910000000002</v>
      </c>
      <c r="H55" s="3">
        <v>0.1610143</v>
      </c>
      <c r="I55" s="3">
        <f t="shared" si="0"/>
        <v>-4.0091452424264933</v>
      </c>
    </row>
    <row r="56" spans="3:9" x14ac:dyDescent="0.25">
      <c r="C56" t="s">
        <v>13</v>
      </c>
      <c r="D56" s="4">
        <v>-3.6123834E-2</v>
      </c>
      <c r="E56" s="1">
        <v>4.2363449999999997E-2</v>
      </c>
      <c r="F56">
        <v>-0.85271220000000003</v>
      </c>
      <c r="G56">
        <v>2095.7910000000002</v>
      </c>
      <c r="H56" s="3">
        <v>0.3939164</v>
      </c>
      <c r="I56" s="3">
        <f t="shared" si="0"/>
        <v>-3.5479154386973799</v>
      </c>
    </row>
    <row r="57" spans="3:9" x14ac:dyDescent="0.25">
      <c r="C57" t="s">
        <v>14</v>
      </c>
      <c r="D57" s="4">
        <v>-7.5787585000000005E-2</v>
      </c>
      <c r="E57" s="1">
        <v>3.161452E-2</v>
      </c>
      <c r="F57">
        <v>-2.39724</v>
      </c>
      <c r="G57">
        <v>2095.7910000000002</v>
      </c>
      <c r="H57" s="3">
        <v>1.6606159999999998E-2</v>
      </c>
      <c r="I57" s="3">
        <f t="shared" si="0"/>
        <v>-7.2986902865586067</v>
      </c>
    </row>
    <row r="58" spans="3:9" x14ac:dyDescent="0.25">
      <c r="C58" t="s">
        <v>15</v>
      </c>
      <c r="D58" s="4">
        <v>-9.4576613000000004E-2</v>
      </c>
      <c r="E58" s="1">
        <v>2.351199E-2</v>
      </c>
      <c r="F58">
        <v>-4.0224842000000001</v>
      </c>
      <c r="G58">
        <v>2095.7910000000002</v>
      </c>
      <c r="H58" s="3">
        <v>5.9629020000000003E-5</v>
      </c>
      <c r="I58" s="3">
        <f t="shared" si="0"/>
        <v>-9.0241967336130653</v>
      </c>
    </row>
    <row r="59" spans="3:9" x14ac:dyDescent="0.25">
      <c r="C59" t="s">
        <v>16</v>
      </c>
      <c r="D59" s="4">
        <v>-4.0403878999999997E-2</v>
      </c>
      <c r="E59" s="1">
        <v>2.673994E-2</v>
      </c>
      <c r="F59">
        <v>-1.5109935000000001</v>
      </c>
      <c r="G59">
        <v>2095.7910000000002</v>
      </c>
      <c r="H59" s="3">
        <v>0.1309409</v>
      </c>
      <c r="I59" s="3">
        <f t="shared" si="0"/>
        <v>-3.9598525174976196</v>
      </c>
    </row>
    <row r="60" spans="3:9" x14ac:dyDescent="0.25">
      <c r="C60" t="s">
        <v>17</v>
      </c>
      <c r="D60" s="4">
        <v>-0.10721984599999999</v>
      </c>
      <c r="E60" s="1">
        <v>3.1200269999999999E-2</v>
      </c>
      <c r="F60">
        <v>-3.4365041999999999</v>
      </c>
      <c r="G60">
        <v>2095.7910000000002</v>
      </c>
      <c r="H60" s="3">
        <v>6.0076529999999995E-4</v>
      </c>
      <c r="I60" s="3">
        <f t="shared" si="0"/>
        <v>-10.167184257249994</v>
      </c>
    </row>
    <row r="61" spans="3:9" x14ac:dyDescent="0.25">
      <c r="C61" t="s">
        <v>18</v>
      </c>
      <c r="D61" s="4">
        <v>-7.6552995999999998E-2</v>
      </c>
      <c r="E61" s="1">
        <v>2.7374220000000001E-2</v>
      </c>
      <c r="F61">
        <v>-2.7965358</v>
      </c>
      <c r="G61">
        <v>2095.7910000000002</v>
      </c>
      <c r="H61" s="3">
        <v>5.2125069999999999E-3</v>
      </c>
      <c r="I61" s="3">
        <f t="shared" si="0"/>
        <v>-7.3696177409380281</v>
      </c>
    </row>
    <row r="62" spans="3:9" x14ac:dyDescent="0.25">
      <c r="E62" s="1"/>
      <c r="I62" s="3">
        <f t="shared" si="0"/>
        <v>0</v>
      </c>
    </row>
    <row r="63" spans="3:9" x14ac:dyDescent="0.25">
      <c r="C63" t="s">
        <v>24</v>
      </c>
      <c r="D63" s="4">
        <v>-2.5180126000000001E-2</v>
      </c>
      <c r="E63" s="1">
        <v>0.10867599999999999</v>
      </c>
      <c r="F63">
        <v>-0.23169899999999999</v>
      </c>
      <c r="G63">
        <v>2095.7910000000002</v>
      </c>
      <c r="H63" s="3">
        <v>0.81679440000000003</v>
      </c>
      <c r="I63" s="3">
        <f t="shared" si="0"/>
        <v>-2.4865750823682919</v>
      </c>
    </row>
    <row r="64" spans="3:9" x14ac:dyDescent="0.25">
      <c r="C64" t="s">
        <v>25</v>
      </c>
      <c r="D64" s="4">
        <v>-9.5260469999999993E-3</v>
      </c>
      <c r="E64" s="1">
        <v>1.551103E-2</v>
      </c>
      <c r="F64">
        <v>-0.61414639999999998</v>
      </c>
      <c r="G64">
        <v>2095.7910000000002</v>
      </c>
      <c r="H64" s="3">
        <v>0.53918520000000003</v>
      </c>
      <c r="I64" s="3">
        <f t="shared" si="0"/>
        <v>-0.94808179462443354</v>
      </c>
    </row>
    <row r="65" spans="1:9" x14ac:dyDescent="0.25">
      <c r="C65" t="s">
        <v>26</v>
      </c>
      <c r="D65" s="4">
        <v>-3.650267E-3</v>
      </c>
      <c r="E65" s="1">
        <v>2.2627359999999999E-2</v>
      </c>
      <c r="F65">
        <v>-0.16132089999999999</v>
      </c>
      <c r="G65">
        <v>2095.7910000000002</v>
      </c>
      <c r="H65" s="3">
        <v>0.87185619999999997</v>
      </c>
      <c r="I65" s="3">
        <f t="shared" si="0"/>
        <v>-0.36436128743216889</v>
      </c>
    </row>
    <row r="66" spans="1:9" x14ac:dyDescent="0.25">
      <c r="C66" t="s">
        <v>27</v>
      </c>
      <c r="D66" s="4">
        <v>-1.8030790000000001E-2</v>
      </c>
      <c r="E66" s="1">
        <v>1.4973230000000001E-2</v>
      </c>
      <c r="F66">
        <v>-1.2042016</v>
      </c>
      <c r="G66">
        <v>2095.7910000000002</v>
      </c>
      <c r="H66" s="3">
        <v>0.22864760000000001</v>
      </c>
      <c r="I66" s="3">
        <f t="shared" si="0"/>
        <v>-1.7869207914334218</v>
      </c>
    </row>
    <row r="67" spans="1:9" x14ac:dyDescent="0.25">
      <c r="C67" t="s">
        <v>28</v>
      </c>
      <c r="D67" s="4">
        <v>-3.9077453999999998E-2</v>
      </c>
      <c r="E67" s="1">
        <v>2.351806E-2</v>
      </c>
      <c r="F67">
        <v>-1.6615933000000001</v>
      </c>
      <c r="G67">
        <v>2095.7910000000002</v>
      </c>
      <c r="H67" s="3">
        <v>9.6743899999999994E-2</v>
      </c>
      <c r="I67" s="3">
        <f t="shared" si="0"/>
        <v>-3.8323779408304004</v>
      </c>
    </row>
    <row r="68" spans="1:9" x14ac:dyDescent="0.25">
      <c r="C68" t="s">
        <v>29</v>
      </c>
      <c r="D68" s="4">
        <v>-2.852244E-2</v>
      </c>
      <c r="E68" s="1">
        <v>1.865561E-2</v>
      </c>
      <c r="F68">
        <v>-1.5288937</v>
      </c>
      <c r="G68">
        <v>2095.7910000000002</v>
      </c>
      <c r="H68" s="3">
        <v>0.12644169999999999</v>
      </c>
      <c r="I68" s="3">
        <f t="shared" si="0"/>
        <v>-2.8119515096643455</v>
      </c>
    </row>
    <row r="69" spans="1:9" x14ac:dyDescent="0.25">
      <c r="E69" s="1"/>
      <c r="I69" s="3">
        <f t="shared" ref="I69:I132" si="1">(EXP(D69)-1)*100</f>
        <v>0</v>
      </c>
    </row>
    <row r="70" spans="1:9" x14ac:dyDescent="0.25">
      <c r="C70" t="s">
        <v>19</v>
      </c>
      <c r="D70" s="4">
        <v>2.2729109999999999E-3</v>
      </c>
      <c r="E70" s="1">
        <v>1.44922E-2</v>
      </c>
      <c r="F70">
        <v>0.1568369</v>
      </c>
      <c r="G70">
        <v>2095.7910000000002</v>
      </c>
      <c r="H70" s="3">
        <v>0.87538850000000001</v>
      </c>
      <c r="I70" s="3">
        <f t="shared" si="1"/>
        <v>0.22754960203430485</v>
      </c>
    </row>
    <row r="71" spans="1:9" x14ac:dyDescent="0.25">
      <c r="C71" t="s">
        <v>20</v>
      </c>
      <c r="D71" s="4">
        <v>6.3982270000000003E-3</v>
      </c>
      <c r="E71" s="1">
        <v>1.305421E-2</v>
      </c>
      <c r="F71">
        <v>0.49012749999999999</v>
      </c>
      <c r="G71">
        <v>2095.7910000000002</v>
      </c>
      <c r="H71" s="3">
        <v>0.62409499999999996</v>
      </c>
      <c r="I71" s="3">
        <f t="shared" si="1"/>
        <v>0.64187393786545588</v>
      </c>
    </row>
    <row r="72" spans="1:9" x14ac:dyDescent="0.25">
      <c r="C72" t="s">
        <v>21</v>
      </c>
      <c r="D72" s="4">
        <v>9.9052270000000008E-3</v>
      </c>
      <c r="E72" s="1">
        <v>1.236524E-2</v>
      </c>
      <c r="F72">
        <v>0.80105389999999999</v>
      </c>
      <c r="G72">
        <v>2095.7910000000002</v>
      </c>
      <c r="H72" s="3">
        <v>0.42319119999999999</v>
      </c>
      <c r="I72" s="3">
        <f t="shared" si="1"/>
        <v>0.9954446135635342</v>
      </c>
    </row>
    <row r="73" spans="1:9" x14ac:dyDescent="0.25">
      <c r="C73" t="s">
        <v>22</v>
      </c>
      <c r="D73" s="4">
        <v>1.4944486999999999E-2</v>
      </c>
      <c r="E73" s="1">
        <v>8.8105279999999998E-3</v>
      </c>
      <c r="F73">
        <v>1.6962079000000001</v>
      </c>
      <c r="G73">
        <v>2095.7910000000002</v>
      </c>
      <c r="H73" s="3">
        <v>8.9995030000000004E-2</v>
      </c>
      <c r="I73" s="3">
        <f t="shared" si="1"/>
        <v>1.5056714208267596</v>
      </c>
    </row>
    <row r="74" spans="1:9" x14ac:dyDescent="0.25">
      <c r="A74" t="s">
        <v>52</v>
      </c>
      <c r="I74" s="3">
        <f t="shared" si="1"/>
        <v>0</v>
      </c>
    </row>
    <row r="75" spans="1:9" x14ac:dyDescent="0.25">
      <c r="C75" t="s">
        <v>42</v>
      </c>
      <c r="D75" s="4" t="s">
        <v>43</v>
      </c>
      <c r="E75" t="s">
        <v>44</v>
      </c>
      <c r="F75" t="s">
        <v>45</v>
      </c>
      <c r="G75" t="s">
        <v>46</v>
      </c>
      <c r="H75" s="3" t="s">
        <v>8</v>
      </c>
      <c r="I75" s="3" t="e">
        <f t="shared" si="1"/>
        <v>#VALUE!</v>
      </c>
    </row>
    <row r="76" spans="1:9" x14ac:dyDescent="0.25">
      <c r="C76" t="s">
        <v>0</v>
      </c>
      <c r="D76" s="4">
        <v>-31.111139999999999</v>
      </c>
      <c r="E76" s="1">
        <v>18.36768</v>
      </c>
      <c r="F76">
        <v>-1.693797773</v>
      </c>
      <c r="G76">
        <v>1863.8150000000001</v>
      </c>
      <c r="H76" s="3">
        <v>9.0470800000000004E-2</v>
      </c>
      <c r="I76" s="3">
        <f t="shared" si="1"/>
        <v>-99.99999999999693</v>
      </c>
    </row>
    <row r="77" spans="1:9" x14ac:dyDescent="0.25">
      <c r="C77" t="s">
        <v>1</v>
      </c>
      <c r="D77" s="4">
        <v>4.7480430000000004E-3</v>
      </c>
      <c r="E77" s="1">
        <v>3.9299579999999999E-3</v>
      </c>
      <c r="F77">
        <v>1.208166112</v>
      </c>
      <c r="G77">
        <v>1863.8150000000001</v>
      </c>
      <c r="H77" s="3">
        <v>0.22713659999999999</v>
      </c>
      <c r="I77" s="3">
        <f t="shared" si="1"/>
        <v>0.47593328172721439</v>
      </c>
    </row>
    <row r="78" spans="1:9" x14ac:dyDescent="0.25">
      <c r="C78" t="s">
        <v>2</v>
      </c>
      <c r="D78" s="4">
        <v>-9.9523280000000006E-2</v>
      </c>
      <c r="E78" s="1">
        <v>1.481239E-2</v>
      </c>
      <c r="F78">
        <v>-6.7189225480000001</v>
      </c>
      <c r="G78">
        <v>1863.8150000000001</v>
      </c>
      <c r="H78" s="3">
        <v>2.4244159999999999E-11</v>
      </c>
      <c r="I78" s="3">
        <f t="shared" si="1"/>
        <v>-9.4731125036212163</v>
      </c>
    </row>
    <row r="79" spans="1:9" x14ac:dyDescent="0.25">
      <c r="C79" t="s">
        <v>3</v>
      </c>
      <c r="D79" s="4">
        <v>-1.5530240000000001E-3</v>
      </c>
      <c r="E79" s="1">
        <v>5.9414190000000005E-4</v>
      </c>
      <c r="F79">
        <v>-2.613894078</v>
      </c>
      <c r="G79">
        <v>1863.8150000000001</v>
      </c>
      <c r="H79" s="3">
        <v>9.0237479999999998E-3</v>
      </c>
      <c r="I79" s="3">
        <f t="shared" si="1"/>
        <v>-0.15518186822709445</v>
      </c>
    </row>
    <row r="80" spans="1:9" x14ac:dyDescent="0.25">
      <c r="C80" t="s">
        <v>4</v>
      </c>
      <c r="D80" s="4">
        <v>-3.8116909999999999E-3</v>
      </c>
      <c r="E80" s="1">
        <v>4.1439220000000004E-3</v>
      </c>
      <c r="F80">
        <v>-0.91982692200000005</v>
      </c>
      <c r="G80">
        <v>1863.8150000000001</v>
      </c>
      <c r="H80" s="3">
        <v>0.35778219999999999</v>
      </c>
      <c r="I80" s="3">
        <f t="shared" si="1"/>
        <v>-0.3804435727073785</v>
      </c>
    </row>
    <row r="81" spans="3:9" x14ac:dyDescent="0.25">
      <c r="C81" t="s">
        <v>5</v>
      </c>
      <c r="D81" s="4">
        <v>2.0425109999999999E-3</v>
      </c>
      <c r="E81" s="1">
        <v>2.1380110000000001E-2</v>
      </c>
      <c r="F81">
        <v>9.5533197E-2</v>
      </c>
      <c r="G81">
        <v>1863.8150000000001</v>
      </c>
      <c r="H81" s="3">
        <v>0.92390159999999999</v>
      </c>
      <c r="I81" s="3">
        <f t="shared" si="1"/>
        <v>0.20445983464933981</v>
      </c>
    </row>
    <row r="82" spans="3:9" x14ac:dyDescent="0.25">
      <c r="C82" t="s">
        <v>9</v>
      </c>
      <c r="D82" s="4">
        <v>5.9777060000000002E-3</v>
      </c>
      <c r="E82" s="1">
        <v>1.2666149999999999E-2</v>
      </c>
      <c r="F82">
        <v>0.471943261</v>
      </c>
      <c r="G82">
        <v>1863.8150000000001</v>
      </c>
      <c r="H82" s="3">
        <v>0.63702250000000005</v>
      </c>
      <c r="I82" s="3">
        <f t="shared" si="1"/>
        <v>0.59956081379739512</v>
      </c>
    </row>
    <row r="83" spans="3:9" x14ac:dyDescent="0.25">
      <c r="C83" t="s">
        <v>6</v>
      </c>
      <c r="D83" s="4">
        <v>-1.7592119999999999E-2</v>
      </c>
      <c r="E83" s="1">
        <v>4.5224739999999999E-2</v>
      </c>
      <c r="F83">
        <v>-0.38899318399999999</v>
      </c>
      <c r="G83">
        <v>1863.8150000000001</v>
      </c>
      <c r="H83" s="3">
        <v>0.69732559999999999</v>
      </c>
      <c r="I83" s="3">
        <f t="shared" si="1"/>
        <v>-1.743828208956455</v>
      </c>
    </row>
    <row r="84" spans="3:9" x14ac:dyDescent="0.25">
      <c r="C84" t="s">
        <v>7</v>
      </c>
      <c r="D84" s="4">
        <v>-2.792205E-2</v>
      </c>
      <c r="E84" s="1">
        <v>8.2795079999999997E-3</v>
      </c>
      <c r="F84">
        <v>-3.3724286019999998</v>
      </c>
      <c r="G84">
        <v>1863.8150000000001</v>
      </c>
      <c r="H84" s="3">
        <v>7.6032210000000005E-4</v>
      </c>
      <c r="I84" s="3">
        <f t="shared" si="1"/>
        <v>-2.7535832571269903</v>
      </c>
    </row>
    <row r="85" spans="3:9" x14ac:dyDescent="0.25">
      <c r="E85" s="1"/>
      <c r="I85" s="3">
        <f t="shared" si="1"/>
        <v>0</v>
      </c>
    </row>
    <row r="86" spans="3:9" x14ac:dyDescent="0.25">
      <c r="C86" t="s">
        <v>10</v>
      </c>
      <c r="D86" s="4">
        <v>-1.2883439999999999E-2</v>
      </c>
      <c r="E86" s="1">
        <v>2.8434569999999999E-2</v>
      </c>
      <c r="F86">
        <v>-0.45309066199999998</v>
      </c>
      <c r="G86">
        <v>1863.8150000000001</v>
      </c>
      <c r="H86" s="3">
        <v>0.65053620000000001</v>
      </c>
      <c r="I86" s="3">
        <f t="shared" si="1"/>
        <v>-1.2800803747296086</v>
      </c>
    </row>
    <row r="87" spans="3:9" x14ac:dyDescent="0.25">
      <c r="C87" t="s">
        <v>11</v>
      </c>
      <c r="D87" s="4">
        <v>-2.3588430000000001E-2</v>
      </c>
      <c r="E87" s="1">
        <v>2.5367339999999999E-2</v>
      </c>
      <c r="F87">
        <v>-0.92987421400000003</v>
      </c>
      <c r="G87">
        <v>1863.8150000000001</v>
      </c>
      <c r="H87" s="3">
        <v>0.3525566</v>
      </c>
      <c r="I87" s="3">
        <f t="shared" si="1"/>
        <v>-2.3312397634728477</v>
      </c>
    </row>
    <row r="88" spans="3:9" x14ac:dyDescent="0.25">
      <c r="C88" t="s">
        <v>12</v>
      </c>
      <c r="D88" s="4">
        <v>-3.008804E-2</v>
      </c>
      <c r="E88" s="1">
        <v>2.9863649999999999E-2</v>
      </c>
      <c r="F88">
        <v>-1.0075137089999999</v>
      </c>
      <c r="G88">
        <v>1863.8150000000001</v>
      </c>
      <c r="H88" s="3">
        <v>0.31381880000000001</v>
      </c>
      <c r="I88" s="3">
        <f t="shared" si="1"/>
        <v>-2.9639900715393908</v>
      </c>
    </row>
    <row r="89" spans="3:9" x14ac:dyDescent="0.25">
      <c r="C89" t="s">
        <v>13</v>
      </c>
      <c r="D89" s="4">
        <v>-2.367468E-2</v>
      </c>
      <c r="E89" s="1">
        <v>4.2662640000000002E-2</v>
      </c>
      <c r="F89">
        <v>-0.55492754600000005</v>
      </c>
      <c r="G89">
        <v>1863.8150000000001</v>
      </c>
      <c r="H89" s="3">
        <v>0.57901080000000005</v>
      </c>
      <c r="I89" s="3">
        <f t="shared" si="1"/>
        <v>-2.3396633307716797</v>
      </c>
    </row>
    <row r="90" spans="3:9" x14ac:dyDescent="0.25">
      <c r="C90" t="s">
        <v>14</v>
      </c>
      <c r="D90" s="4">
        <v>-7.0290270000000002E-2</v>
      </c>
      <c r="E90" s="1">
        <v>3.305143E-2</v>
      </c>
      <c r="F90">
        <v>-2.126693494</v>
      </c>
      <c r="G90">
        <v>1863.8150000000001</v>
      </c>
      <c r="H90" s="3">
        <v>3.3576599999999998E-2</v>
      </c>
      <c r="I90" s="3">
        <f t="shared" si="1"/>
        <v>-6.7876786771755686</v>
      </c>
    </row>
    <row r="91" spans="3:9" x14ac:dyDescent="0.25">
      <c r="C91" t="s">
        <v>15</v>
      </c>
      <c r="D91" s="4">
        <v>-9.0274199999999999E-2</v>
      </c>
      <c r="E91" s="1">
        <v>2.5706880000000001E-2</v>
      </c>
      <c r="F91">
        <v>-3.5116742900000002</v>
      </c>
      <c r="G91">
        <v>1863.8150000000001</v>
      </c>
      <c r="H91" s="3">
        <v>4.5589380000000002E-4</v>
      </c>
      <c r="I91" s="3">
        <f t="shared" si="1"/>
        <v>-8.6319380305662659</v>
      </c>
    </row>
    <row r="92" spans="3:9" x14ac:dyDescent="0.25">
      <c r="C92" t="s">
        <v>16</v>
      </c>
      <c r="D92" s="4">
        <v>-2.4198399999999998E-2</v>
      </c>
      <c r="E92" s="1">
        <v>3.039234E-2</v>
      </c>
      <c r="F92">
        <v>-0.79620058100000002</v>
      </c>
      <c r="G92">
        <v>1863.8150000000001</v>
      </c>
      <c r="H92" s="3">
        <v>0.42601689999999998</v>
      </c>
      <c r="I92" s="3">
        <f t="shared" si="1"/>
        <v>-2.390796611362489</v>
      </c>
    </row>
    <row r="93" spans="3:9" x14ac:dyDescent="0.25">
      <c r="C93" t="s">
        <v>17</v>
      </c>
      <c r="D93" s="4">
        <v>-9.9947140000000004E-2</v>
      </c>
      <c r="E93" s="1">
        <v>3.1804199999999998E-2</v>
      </c>
      <c r="F93">
        <v>-3.1425768070000002</v>
      </c>
      <c r="G93">
        <v>1863.8150000000001</v>
      </c>
      <c r="H93" s="3">
        <v>1.701019E-3</v>
      </c>
      <c r="I93" s="3">
        <f t="shared" si="1"/>
        <v>-9.5114750993961614</v>
      </c>
    </row>
    <row r="94" spans="3:9" x14ac:dyDescent="0.25">
      <c r="E94" s="1"/>
      <c r="I94" s="3">
        <f t="shared" si="1"/>
        <v>0</v>
      </c>
    </row>
    <row r="95" spans="3:9" x14ac:dyDescent="0.25">
      <c r="E95" s="1"/>
      <c r="I95" s="3">
        <f t="shared" si="1"/>
        <v>0</v>
      </c>
    </row>
    <row r="96" spans="3:9" x14ac:dyDescent="0.25">
      <c r="C96" t="s">
        <v>24</v>
      </c>
      <c r="D96" s="4">
        <v>-0.2005246</v>
      </c>
      <c r="E96" s="1">
        <v>0.14402490000000001</v>
      </c>
      <c r="F96">
        <v>-1.3922910120000001</v>
      </c>
      <c r="G96">
        <v>1863.8150000000001</v>
      </c>
      <c r="H96" s="3">
        <v>0.16400039999999999</v>
      </c>
      <c r="I96" s="3">
        <f t="shared" si="1"/>
        <v>-18.169864043531668</v>
      </c>
    </row>
    <row r="97" spans="3:9" x14ac:dyDescent="0.25">
      <c r="C97" t="s">
        <v>25</v>
      </c>
      <c r="D97" s="4">
        <v>-3.4534429999999998E-2</v>
      </c>
      <c r="E97" s="1">
        <v>1.6498369999999998E-2</v>
      </c>
      <c r="F97">
        <v>-2.0932023399999999</v>
      </c>
      <c r="G97">
        <v>1863.8150000000001</v>
      </c>
      <c r="H97" s="3">
        <v>3.646597E-2</v>
      </c>
      <c r="I97" s="3">
        <f t="shared" si="1"/>
        <v>-3.3944922162437829</v>
      </c>
    </row>
    <row r="98" spans="3:9" x14ac:dyDescent="0.25">
      <c r="C98" t="s">
        <v>26</v>
      </c>
      <c r="D98" s="4">
        <v>-3.8819980000000003E-5</v>
      </c>
      <c r="E98" s="1">
        <v>2.215394E-2</v>
      </c>
      <c r="F98">
        <v>-1.7522830000000001E-3</v>
      </c>
      <c r="G98">
        <v>1863.8150000000001</v>
      </c>
      <c r="H98" s="3">
        <v>0.99860210000000005</v>
      </c>
      <c r="I98" s="3">
        <f t="shared" si="1"/>
        <v>-3.8819226514275051E-3</v>
      </c>
    </row>
    <row r="99" spans="3:9" x14ac:dyDescent="0.25">
      <c r="C99" t="s">
        <v>27</v>
      </c>
      <c r="D99" s="4">
        <v>-3.2694479999999998E-2</v>
      </c>
      <c r="E99" s="1">
        <v>1.5111599999999999E-2</v>
      </c>
      <c r="F99">
        <v>-2.1635350600000001</v>
      </c>
      <c r="G99">
        <v>1863.8150000000001</v>
      </c>
      <c r="H99" s="3">
        <v>3.0626770000000001E-2</v>
      </c>
      <c r="I99" s="3">
        <f t="shared" si="1"/>
        <v>-3.216579286942356</v>
      </c>
    </row>
    <row r="100" spans="3:9" x14ac:dyDescent="0.25">
      <c r="C100" t="s">
        <v>28</v>
      </c>
      <c r="D100" s="4">
        <v>-6.1836170000000003E-2</v>
      </c>
      <c r="E100" s="1">
        <v>2.5946509999999999E-2</v>
      </c>
      <c r="F100">
        <v>-2.383217353</v>
      </c>
      <c r="G100">
        <v>1863.8150000000001</v>
      </c>
      <c r="H100" s="3">
        <v>1.726171E-2</v>
      </c>
      <c r="I100" s="3">
        <f t="shared" si="1"/>
        <v>-5.9963119581524555</v>
      </c>
    </row>
    <row r="101" spans="3:9" x14ac:dyDescent="0.25">
      <c r="C101" t="s">
        <v>29</v>
      </c>
      <c r="D101" s="4">
        <v>-4.7913690000000002E-2</v>
      </c>
      <c r="E101" s="1">
        <v>1.8065100000000001E-2</v>
      </c>
      <c r="F101">
        <v>-2.652278774</v>
      </c>
      <c r="G101">
        <v>1863.8150000000001</v>
      </c>
      <c r="H101" s="3">
        <v>8.062863E-3</v>
      </c>
      <c r="I101" s="3">
        <f t="shared" si="1"/>
        <v>-4.6783944395085371</v>
      </c>
    </row>
    <row r="102" spans="3:9" x14ac:dyDescent="0.25">
      <c r="E102" s="1"/>
      <c r="I102" s="3">
        <f t="shared" si="1"/>
        <v>0</v>
      </c>
    </row>
    <row r="103" spans="3:9" x14ac:dyDescent="0.25">
      <c r="C103" t="s">
        <v>19</v>
      </c>
      <c r="D103" s="4">
        <v>1.2189180000000001E-2</v>
      </c>
      <c r="E103" s="1">
        <v>1.5440829999999999E-2</v>
      </c>
      <c r="F103">
        <v>0.78941227700000005</v>
      </c>
      <c r="G103">
        <v>1863.8150000000001</v>
      </c>
      <c r="H103" s="3">
        <v>0.42997150000000001</v>
      </c>
      <c r="I103" s="3">
        <f t="shared" si="1"/>
        <v>1.2263770813391695</v>
      </c>
    </row>
    <row r="104" spans="3:9" x14ac:dyDescent="0.25">
      <c r="C104" t="s">
        <v>20</v>
      </c>
      <c r="D104" s="4">
        <v>1.438713E-2</v>
      </c>
      <c r="E104" s="1">
        <v>1.364432E-2</v>
      </c>
      <c r="F104">
        <v>1.0544408759999999</v>
      </c>
      <c r="G104">
        <v>1863.8150000000001</v>
      </c>
      <c r="H104" s="3">
        <v>0.29181780000000002</v>
      </c>
      <c r="I104" s="3">
        <f t="shared" si="1"/>
        <v>1.4491122875992302</v>
      </c>
    </row>
    <row r="105" spans="3:9" x14ac:dyDescent="0.25">
      <c r="C105" t="s">
        <v>21</v>
      </c>
      <c r="D105" s="4">
        <v>1.732291E-2</v>
      </c>
      <c r="E105" s="1">
        <v>1.248899E-2</v>
      </c>
      <c r="F105">
        <v>1.3870548030000001</v>
      </c>
      <c r="G105">
        <v>1863.8150000000001</v>
      </c>
      <c r="H105" s="3">
        <v>0.16559090000000001</v>
      </c>
      <c r="I105" s="3">
        <f t="shared" si="1"/>
        <v>1.7473821756293972</v>
      </c>
    </row>
    <row r="106" spans="3:9" x14ac:dyDescent="0.25">
      <c r="C106" t="s">
        <v>22</v>
      </c>
      <c r="D106" s="4">
        <v>1.7562680000000001E-2</v>
      </c>
      <c r="E106" s="1">
        <v>9.1071409999999992E-3</v>
      </c>
      <c r="F106">
        <v>1.9284517830000001</v>
      </c>
      <c r="G106">
        <v>1863.8150000000001</v>
      </c>
      <c r="H106" s="3">
        <v>5.3950680000000001E-2</v>
      </c>
      <c r="I106" s="3">
        <f t="shared" si="1"/>
        <v>1.7717810703982595</v>
      </c>
    </row>
    <row r="107" spans="3:9" x14ac:dyDescent="0.25">
      <c r="C107" t="s">
        <v>23</v>
      </c>
      <c r="D107" s="4">
        <v>3.0960200000000001E-3</v>
      </c>
      <c r="E107" s="1">
        <v>1.382512E-3</v>
      </c>
      <c r="F107">
        <v>2.239417065</v>
      </c>
      <c r="G107">
        <v>1863.8150000000001</v>
      </c>
      <c r="H107" s="3">
        <v>2.5246319999999999E-2</v>
      </c>
      <c r="I107" s="3">
        <f t="shared" si="1"/>
        <v>0.31008176198181747</v>
      </c>
    </row>
    <row r="108" spans="3:9" x14ac:dyDescent="0.25">
      <c r="E108" s="1"/>
      <c r="I108" s="3">
        <f t="shared" si="1"/>
        <v>0</v>
      </c>
    </row>
    <row r="109" spans="3:9" x14ac:dyDescent="0.25">
      <c r="C109" t="s">
        <v>30</v>
      </c>
      <c r="D109" s="4">
        <v>-2.8121150000000001E-2</v>
      </c>
      <c r="E109" s="1">
        <v>1.242702E-2</v>
      </c>
      <c r="F109">
        <v>-2.2629035499999999</v>
      </c>
      <c r="G109">
        <v>1863.8150000000001</v>
      </c>
      <c r="H109" s="3">
        <v>2.3756260000000001E-2</v>
      </c>
      <c r="I109" s="3">
        <f t="shared" si="1"/>
        <v>-2.7729430913650432</v>
      </c>
    </row>
    <row r="110" spans="3:9" x14ac:dyDescent="0.25">
      <c r="C110" t="s">
        <v>31</v>
      </c>
      <c r="D110" s="4">
        <v>-2.4155510000000002E-3</v>
      </c>
      <c r="E110" s="1">
        <v>1.7578529999999998E-2</v>
      </c>
      <c r="F110">
        <v>-0.13741482899999999</v>
      </c>
      <c r="G110">
        <v>1863.8150000000001</v>
      </c>
      <c r="H110" s="3">
        <v>0.8907178</v>
      </c>
      <c r="I110" s="3">
        <f t="shared" si="1"/>
        <v>-0.24126359043430412</v>
      </c>
    </row>
    <row r="111" spans="3:9" x14ac:dyDescent="0.25">
      <c r="C111" t="s">
        <v>32</v>
      </c>
      <c r="D111" s="4">
        <v>-2.6653240000000002E-3</v>
      </c>
      <c r="E111" s="1">
        <v>3.0026669999999998E-2</v>
      </c>
      <c r="F111">
        <v>-8.8765216999999993E-2</v>
      </c>
      <c r="G111">
        <v>1863.8150000000001</v>
      </c>
      <c r="H111" s="3">
        <v>0.92927800000000005</v>
      </c>
      <c r="I111" s="3">
        <f t="shared" si="1"/>
        <v>-0.26617751776081278</v>
      </c>
    </row>
    <row r="112" spans="3:9" x14ac:dyDescent="0.25">
      <c r="I112" s="3">
        <f t="shared" si="1"/>
        <v>0</v>
      </c>
    </row>
    <row r="113" spans="1:9" x14ac:dyDescent="0.25">
      <c r="A113" t="s">
        <v>53</v>
      </c>
      <c r="I113" s="3">
        <f t="shared" si="1"/>
        <v>0</v>
      </c>
    </row>
    <row r="114" spans="1:9" x14ac:dyDescent="0.25">
      <c r="I114" s="3">
        <f t="shared" si="1"/>
        <v>0</v>
      </c>
    </row>
    <row r="115" spans="1:9" x14ac:dyDescent="0.25">
      <c r="C115" s="1" t="s">
        <v>42</v>
      </c>
      <c r="D115" s="4" t="s">
        <v>43</v>
      </c>
      <c r="E115" t="s">
        <v>44</v>
      </c>
      <c r="F115" t="s">
        <v>45</v>
      </c>
      <c r="G115" s="1" t="s">
        <v>46</v>
      </c>
      <c r="H115" s="3" t="s">
        <v>8</v>
      </c>
      <c r="I115" s="3" t="e">
        <f t="shared" si="1"/>
        <v>#VALUE!</v>
      </c>
    </row>
    <row r="116" spans="1:9" x14ac:dyDescent="0.25">
      <c r="C116" t="s">
        <v>0</v>
      </c>
      <c r="D116" s="4">
        <v>-12.604799999999999</v>
      </c>
      <c r="E116" s="1">
        <v>20.141690000000001</v>
      </c>
      <c r="F116">
        <v>-0.62580647</v>
      </c>
      <c r="G116">
        <v>1503.8520000000001</v>
      </c>
      <c r="H116" s="3">
        <v>0.53153689999999998</v>
      </c>
      <c r="I116" s="3">
        <f>(EXP(D116)-1)*100</f>
        <v>-99.999664413165547</v>
      </c>
    </row>
    <row r="117" spans="1:9" x14ac:dyDescent="0.25">
      <c r="C117" t="s">
        <v>1</v>
      </c>
      <c r="D117" s="4">
        <v>2.0879919999999999E-3</v>
      </c>
      <c r="E117" s="1">
        <v>4.3239719999999997E-3</v>
      </c>
      <c r="F117">
        <v>0.48288748999999997</v>
      </c>
      <c r="G117">
        <v>1503.8520000000001</v>
      </c>
      <c r="H117" s="3">
        <v>0.62924590000000002</v>
      </c>
      <c r="I117" s="3">
        <f t="shared" si="1"/>
        <v>0.20901733732618943</v>
      </c>
    </row>
    <row r="118" spans="1:9" x14ac:dyDescent="0.25">
      <c r="C118" t="s">
        <v>2</v>
      </c>
      <c r="D118" s="4">
        <v>-9.8339599999999999E-2</v>
      </c>
      <c r="E118" s="1">
        <v>1.6267839999999999E-2</v>
      </c>
      <c r="F118">
        <v>-6.0450310800000002</v>
      </c>
      <c r="G118">
        <v>1503.8520000000001</v>
      </c>
      <c r="H118" s="3">
        <v>1.880721E-9</v>
      </c>
      <c r="I118" s="3">
        <f t="shared" si="1"/>
        <v>-9.3658941938636673</v>
      </c>
    </row>
    <row r="119" spans="1:9" x14ac:dyDescent="0.25">
      <c r="C119" t="s">
        <v>3</v>
      </c>
      <c r="D119" s="4">
        <v>-1.3176959999999999E-3</v>
      </c>
      <c r="E119" s="1">
        <v>7.055548E-4</v>
      </c>
      <c r="F119">
        <v>-1.8676028099999999</v>
      </c>
      <c r="G119">
        <v>1503.8520000000001</v>
      </c>
      <c r="H119" s="3">
        <v>6.2011839999999999E-2</v>
      </c>
      <c r="I119" s="3">
        <f t="shared" si="1"/>
        <v>-0.13168282198244841</v>
      </c>
    </row>
    <row r="120" spans="1:9" x14ac:dyDescent="0.25">
      <c r="C120" t="s">
        <v>4</v>
      </c>
      <c r="D120" s="4">
        <v>3.146289E-3</v>
      </c>
      <c r="E120" s="1">
        <v>4.707007E-3</v>
      </c>
      <c r="F120" s="1">
        <v>0.66842663000000002</v>
      </c>
      <c r="G120">
        <v>1503.8520000000001</v>
      </c>
      <c r="H120" s="3">
        <v>0.50396390000000002</v>
      </c>
      <c r="I120" s="3">
        <f t="shared" si="1"/>
        <v>0.31512437622442935</v>
      </c>
    </row>
    <row r="121" spans="1:9" x14ac:dyDescent="0.25">
      <c r="C121" t="s">
        <v>5</v>
      </c>
      <c r="D121" s="4">
        <v>-2.6026249999999999E-3</v>
      </c>
      <c r="E121" s="1">
        <v>2.5612139999999999E-2</v>
      </c>
      <c r="F121">
        <v>-0.10161683000000001</v>
      </c>
      <c r="G121">
        <v>1503.8520000000001</v>
      </c>
      <c r="H121" s="3">
        <v>0.91907439999999996</v>
      </c>
      <c r="I121" s="3">
        <f t="shared" si="1"/>
        <v>-0.25992411078586963</v>
      </c>
    </row>
    <row r="122" spans="1:9" x14ac:dyDescent="0.25">
      <c r="C122" t="s">
        <v>56</v>
      </c>
      <c r="D122" s="4">
        <v>1.242624E-2</v>
      </c>
      <c r="E122" s="1">
        <v>1.4131029999999999E-2</v>
      </c>
      <c r="F122">
        <v>0.87935834000000002</v>
      </c>
      <c r="G122" s="3">
        <v>1503.8520000000001</v>
      </c>
      <c r="H122" s="3">
        <v>0.3793475</v>
      </c>
      <c r="I122" s="3">
        <f t="shared" si="1"/>
        <v>1.2503766508466629</v>
      </c>
    </row>
    <row r="123" spans="1:9" x14ac:dyDescent="0.25">
      <c r="C123" t="s">
        <v>6</v>
      </c>
      <c r="D123" s="4">
        <v>-7.1169199999999999E-4</v>
      </c>
      <c r="E123" s="1">
        <v>6.2733250000000004E-2</v>
      </c>
      <c r="F123">
        <v>-1.1344730000000001E-2</v>
      </c>
      <c r="G123">
        <v>1503.8520000000001</v>
      </c>
      <c r="H123" s="3">
        <v>0.99094990000000005</v>
      </c>
      <c r="I123" s="3">
        <f t="shared" si="1"/>
        <v>-7.1143880731716624E-2</v>
      </c>
    </row>
    <row r="124" spans="1:9" x14ac:dyDescent="0.25">
      <c r="C124" t="s">
        <v>7</v>
      </c>
      <c r="D124" s="4">
        <v>-2.4647019999999999E-2</v>
      </c>
      <c r="E124" s="1">
        <v>9.1304620000000006E-3</v>
      </c>
      <c r="F124">
        <v>-2.69942774</v>
      </c>
      <c r="G124">
        <v>1503.8520000000001</v>
      </c>
      <c r="H124" s="3">
        <v>7.0237040000000004E-3</v>
      </c>
      <c r="I124" s="3">
        <f t="shared" si="1"/>
        <v>-2.4345762312459107</v>
      </c>
    </row>
    <row r="125" spans="1:9" x14ac:dyDescent="0.25">
      <c r="E125" s="1"/>
    </row>
    <row r="126" spans="1:9" x14ac:dyDescent="0.25">
      <c r="C126" t="s">
        <v>10</v>
      </c>
      <c r="D126" s="4">
        <v>-8.4798100000000008E-3</v>
      </c>
      <c r="E126" s="1">
        <v>3.4373910000000001E-2</v>
      </c>
      <c r="F126" s="1">
        <v>-0.24669321999999999</v>
      </c>
      <c r="G126">
        <v>1503.8520000000001</v>
      </c>
      <c r="H126" s="3">
        <v>0.80517930000000004</v>
      </c>
      <c r="I126" s="3">
        <f t="shared" si="1"/>
        <v>-0.84439578226374046</v>
      </c>
    </row>
    <row r="127" spans="1:9" x14ac:dyDescent="0.25">
      <c r="C127" t="s">
        <v>11</v>
      </c>
      <c r="D127" s="4">
        <v>-2.6817279999999999E-2</v>
      </c>
      <c r="E127" s="1">
        <v>3.0490969999999999E-2</v>
      </c>
      <c r="F127">
        <v>-0.87951550000000001</v>
      </c>
      <c r="G127">
        <v>1503.8520000000001</v>
      </c>
      <c r="H127" s="3">
        <v>0.3792623</v>
      </c>
      <c r="I127" s="3">
        <f t="shared" si="1"/>
        <v>-2.6460889660011699</v>
      </c>
    </row>
    <row r="128" spans="1:9" x14ac:dyDescent="0.25">
      <c r="C128" t="s">
        <v>57</v>
      </c>
      <c r="D128" s="4">
        <v>-2.2969259999999998E-2</v>
      </c>
      <c r="E128" s="1">
        <v>3.5967020000000002E-2</v>
      </c>
      <c r="F128">
        <v>-0.63862021999999996</v>
      </c>
      <c r="G128" s="3">
        <v>1503.8520000000001</v>
      </c>
      <c r="H128" s="3">
        <v>0.5231673</v>
      </c>
      <c r="I128" s="3">
        <f t="shared" si="1"/>
        <v>-2.2707474716236131</v>
      </c>
    </row>
    <row r="129" spans="3:9" x14ac:dyDescent="0.25">
      <c r="C129" t="s">
        <v>13</v>
      </c>
      <c r="D129" s="4">
        <v>4.2885960000000004E-3</v>
      </c>
      <c r="E129" s="1">
        <v>5.6899129999999999E-2</v>
      </c>
      <c r="F129">
        <v>7.5371919999999995E-2</v>
      </c>
      <c r="G129">
        <v>1503.8520000000001</v>
      </c>
      <c r="H129" s="3">
        <v>0.93992880000000001</v>
      </c>
      <c r="I129" s="3">
        <f t="shared" si="1"/>
        <v>0.42978051879483115</v>
      </c>
    </row>
    <row r="130" spans="3:9" x14ac:dyDescent="0.25">
      <c r="C130" t="s">
        <v>14</v>
      </c>
      <c r="D130" s="4">
        <v>-5.2096030000000002E-2</v>
      </c>
      <c r="E130" s="1">
        <v>3.9448530000000002E-2</v>
      </c>
      <c r="F130">
        <v>-1.32060756</v>
      </c>
      <c r="G130">
        <v>1503.8520000000001</v>
      </c>
      <c r="H130" s="3">
        <v>0.1868332</v>
      </c>
      <c r="I130" s="3">
        <f t="shared" si="1"/>
        <v>-5.0762292831091571</v>
      </c>
    </row>
    <row r="131" spans="3:9" x14ac:dyDescent="0.25">
      <c r="C131" t="s">
        <v>15</v>
      </c>
      <c r="D131" s="4">
        <v>-8.8411329999999996E-2</v>
      </c>
      <c r="E131" s="1">
        <v>3.1409840000000001E-2</v>
      </c>
      <c r="F131">
        <v>-2.8147655500000002</v>
      </c>
      <c r="G131">
        <v>1503.8520000000001</v>
      </c>
      <c r="H131" s="3">
        <v>4.9448959999999998E-3</v>
      </c>
      <c r="I131" s="3">
        <f t="shared" si="1"/>
        <v>-8.4615725738841689</v>
      </c>
    </row>
    <row r="132" spans="3:9" x14ac:dyDescent="0.25">
      <c r="C132" t="s">
        <v>16</v>
      </c>
      <c r="D132" s="4">
        <v>-1.3469989999999999E-2</v>
      </c>
      <c r="E132" s="1">
        <v>3.7436419999999998E-2</v>
      </c>
      <c r="F132">
        <v>-0.35980990000000002</v>
      </c>
      <c r="G132">
        <v>1503.8520000000001</v>
      </c>
      <c r="H132" s="3">
        <v>0.71903980000000001</v>
      </c>
      <c r="I132" s="3">
        <f t="shared" si="1"/>
        <v>-1.3379675650604383</v>
      </c>
    </row>
    <row r="133" spans="3:9" x14ac:dyDescent="0.25">
      <c r="C133" t="s">
        <v>17</v>
      </c>
      <c r="D133" s="4">
        <v>-8.1932039999999998E-2</v>
      </c>
      <c r="E133" s="1">
        <v>3.8146590000000001E-2</v>
      </c>
      <c r="F133">
        <v>-2.1478206000000002</v>
      </c>
      <c r="G133">
        <v>1503.8520000000001</v>
      </c>
      <c r="H133" s="3">
        <v>3.188738E-2</v>
      </c>
      <c r="I133" s="3">
        <f t="shared" ref="I133:I196" si="2">(EXP(D133)-1)*100</f>
        <v>-7.8665429533814502</v>
      </c>
    </row>
    <row r="134" spans="3:9" x14ac:dyDescent="0.25">
      <c r="E134" s="1"/>
    </row>
    <row r="135" spans="3:9" x14ac:dyDescent="0.25">
      <c r="C135" t="s">
        <v>24</v>
      </c>
      <c r="D135" s="4">
        <v>-0.34258680000000002</v>
      </c>
      <c r="E135" s="1">
        <v>0.1838525</v>
      </c>
      <c r="F135">
        <v>-1.8633790400000001</v>
      </c>
      <c r="G135">
        <v>1503.8520000000001</v>
      </c>
      <c r="H135" s="3">
        <v>6.260375E-2</v>
      </c>
      <c r="I135" s="3">
        <f t="shared" si="2"/>
        <v>-29.006850534265961</v>
      </c>
    </row>
    <row r="136" spans="3:9" x14ac:dyDescent="0.25">
      <c r="C136" t="s">
        <v>25</v>
      </c>
      <c r="D136" s="4">
        <v>-4.3814949999999998E-2</v>
      </c>
      <c r="E136" s="1">
        <v>1.806611E-2</v>
      </c>
      <c r="F136">
        <v>-2.42525682</v>
      </c>
      <c r="G136">
        <v>1503.8520000000001</v>
      </c>
      <c r="H136" s="3">
        <v>1.541464E-2</v>
      </c>
      <c r="I136" s="3">
        <f t="shared" si="2"/>
        <v>-4.2868941811384564</v>
      </c>
    </row>
    <row r="137" spans="3:9" x14ac:dyDescent="0.25">
      <c r="C137" t="s">
        <v>26</v>
      </c>
      <c r="D137" s="4">
        <v>1.106648E-2</v>
      </c>
      <c r="E137" s="1">
        <v>2.2734750000000001E-2</v>
      </c>
      <c r="F137">
        <v>0.48676498000000001</v>
      </c>
      <c r="G137">
        <v>1503.8520000000001</v>
      </c>
      <c r="H137" s="3">
        <v>0.62649580000000005</v>
      </c>
      <c r="I137" s="3">
        <f t="shared" si="2"/>
        <v>1.1127939995834391</v>
      </c>
    </row>
    <row r="138" spans="3:9" x14ac:dyDescent="0.25">
      <c r="C138" t="s">
        <v>27</v>
      </c>
      <c r="D138" s="4">
        <v>-3.617542E-2</v>
      </c>
      <c r="E138" s="1">
        <v>1.5889420000000001E-2</v>
      </c>
      <c r="F138">
        <v>-2.2766994600000001</v>
      </c>
      <c r="G138">
        <v>1503.8520000000001</v>
      </c>
      <c r="H138" s="3">
        <v>2.294415E-2</v>
      </c>
      <c r="I138" s="3">
        <f t="shared" si="2"/>
        <v>-3.552890887598692</v>
      </c>
    </row>
    <row r="139" spans="3:9" x14ac:dyDescent="0.25">
      <c r="C139" t="s">
        <v>28</v>
      </c>
      <c r="D139" s="4">
        <v>-7.0576249999999993E-2</v>
      </c>
      <c r="E139" s="1">
        <v>2.9211000000000001E-2</v>
      </c>
      <c r="F139">
        <v>-2.41608431</v>
      </c>
      <c r="G139">
        <v>1503.8520000000001</v>
      </c>
      <c r="H139" s="3">
        <v>1.580691E-2</v>
      </c>
      <c r="I139" s="3">
        <f t="shared" si="2"/>
        <v>-6.8143317255264346</v>
      </c>
    </row>
    <row r="140" spans="3:9" x14ac:dyDescent="0.25">
      <c r="C140" t="s">
        <v>29</v>
      </c>
      <c r="D140" s="4">
        <v>-2.6326909999999999E-2</v>
      </c>
      <c r="E140" s="1">
        <v>1.9423510000000001E-2</v>
      </c>
      <c r="F140">
        <v>-1.3554147599999999</v>
      </c>
      <c r="G140">
        <v>1503.8520000000001</v>
      </c>
      <c r="H140" s="3">
        <v>0.17548900000000001</v>
      </c>
      <c r="I140" s="3">
        <f t="shared" si="2"/>
        <v>-2.5983378217399933</v>
      </c>
    </row>
    <row r="141" spans="3:9" x14ac:dyDescent="0.25">
      <c r="E141" s="1"/>
    </row>
    <row r="142" spans="3:9" x14ac:dyDescent="0.25">
      <c r="C142" t="s">
        <v>19</v>
      </c>
      <c r="D142" s="4">
        <v>9.1311929999999993E-3</v>
      </c>
      <c r="E142" s="1">
        <v>1.6181870000000001E-2</v>
      </c>
      <c r="F142">
        <v>0.56428528</v>
      </c>
      <c r="G142">
        <v>1503.8520000000001</v>
      </c>
      <c r="H142" s="3">
        <v>0.57264409999999999</v>
      </c>
      <c r="I142" s="3">
        <f t="shared" si="2"/>
        <v>0.91730095241433496</v>
      </c>
    </row>
    <row r="143" spans="3:9" x14ac:dyDescent="0.25">
      <c r="C143" t="s">
        <v>20</v>
      </c>
      <c r="D143" s="4">
        <v>1.049168E-2</v>
      </c>
      <c r="E143" s="1">
        <v>1.535133E-2</v>
      </c>
      <c r="F143">
        <v>0.68343805000000002</v>
      </c>
      <c r="G143">
        <v>1503.8520000000001</v>
      </c>
      <c r="H143" s="3">
        <v>0.49443540000000002</v>
      </c>
      <c r="I143" s="3">
        <f t="shared" si="2"/>
        <v>1.0546910659753328</v>
      </c>
    </row>
    <row r="144" spans="3:9" x14ac:dyDescent="0.25">
      <c r="C144" t="s">
        <v>21</v>
      </c>
      <c r="D144" s="4">
        <v>1.7367899999999999E-2</v>
      </c>
      <c r="E144" s="1">
        <v>1.40643E-2</v>
      </c>
      <c r="F144">
        <v>1.23489249</v>
      </c>
      <c r="G144">
        <v>1503.8520000000001</v>
      </c>
      <c r="H144" s="3">
        <v>0.21706339999999999</v>
      </c>
      <c r="I144" s="3">
        <f t="shared" si="2"/>
        <v>1.7519598933284808</v>
      </c>
    </row>
    <row r="145" spans="3:11" x14ac:dyDescent="0.25">
      <c r="C145" t="s">
        <v>22</v>
      </c>
      <c r="D145" s="4">
        <v>8.3702740000000005E-3</v>
      </c>
      <c r="E145" s="1">
        <v>9.9860439999999995E-3</v>
      </c>
      <c r="F145" s="1">
        <v>0.83819719999999998</v>
      </c>
      <c r="G145">
        <v>1503.8520000000001</v>
      </c>
      <c r="H145" s="3">
        <v>0.4020532</v>
      </c>
      <c r="I145" s="3">
        <f t="shared" si="2"/>
        <v>0.84054026872595333</v>
      </c>
    </row>
    <row r="146" spans="3:11" x14ac:dyDescent="0.25">
      <c r="C146" t="s">
        <v>23</v>
      </c>
      <c r="D146" s="4">
        <v>2.8710039999999999E-3</v>
      </c>
      <c r="E146" s="1">
        <v>1.6460610000000001E-3</v>
      </c>
      <c r="F146">
        <v>1.74416624</v>
      </c>
      <c r="G146">
        <v>1503.8520000000001</v>
      </c>
      <c r="H146" s="3">
        <v>8.1334420000000004E-2</v>
      </c>
      <c r="I146" s="3">
        <f t="shared" si="2"/>
        <v>0.28751292789366278</v>
      </c>
    </row>
    <row r="147" spans="3:11" x14ac:dyDescent="0.25">
      <c r="E147" s="1"/>
    </row>
    <row r="148" spans="3:11" x14ac:dyDescent="0.25">
      <c r="C148" t="s">
        <v>58</v>
      </c>
      <c r="D148" s="4">
        <v>-3.142644E-2</v>
      </c>
      <c r="E148" s="1">
        <v>1.4692480000000001E-2</v>
      </c>
      <c r="F148">
        <v>-2.1389472999999999</v>
      </c>
      <c r="G148" s="3">
        <v>1503.8520000000001</v>
      </c>
      <c r="H148" s="3">
        <v>3.26006E-2</v>
      </c>
      <c r="I148" s="3">
        <f t="shared" si="2"/>
        <v>-3.0937761949798581</v>
      </c>
    </row>
    <row r="149" spans="3:11" x14ac:dyDescent="0.25">
      <c r="C149" t="s">
        <v>31</v>
      </c>
      <c r="D149" s="4">
        <v>1.187189E-2</v>
      </c>
      <c r="E149" s="1">
        <v>2.2183540000000002E-2</v>
      </c>
      <c r="F149">
        <v>0.53516651000000004</v>
      </c>
      <c r="G149">
        <v>1503.8520000000001</v>
      </c>
      <c r="H149" s="3">
        <v>0.59261379999999997</v>
      </c>
      <c r="I149" s="3">
        <f t="shared" si="2"/>
        <v>1.1942640589948761</v>
      </c>
    </row>
    <row r="150" spans="3:11" x14ac:dyDescent="0.25">
      <c r="C150" t="s">
        <v>59</v>
      </c>
      <c r="D150" s="4">
        <v>-9.2298180000000007E-3</v>
      </c>
      <c r="E150" s="1">
        <v>3.884249E-2</v>
      </c>
      <c r="F150">
        <v>-0.23762168</v>
      </c>
      <c r="G150" s="3">
        <v>1503.8520000000001</v>
      </c>
      <c r="H150" s="3">
        <v>0.81220689999999995</v>
      </c>
      <c r="I150" s="3">
        <f t="shared" si="2"/>
        <v>-0.91873539753404287</v>
      </c>
    </row>
    <row r="151" spans="3:11" x14ac:dyDescent="0.25">
      <c r="C151" t="s">
        <v>33</v>
      </c>
      <c r="D151" s="4">
        <v>-3.3691350000000002E-2</v>
      </c>
      <c r="E151" s="1">
        <v>1.4628230000000001E-2</v>
      </c>
      <c r="F151" s="1">
        <v>-2.30317317</v>
      </c>
      <c r="G151">
        <v>1503.8520000000001</v>
      </c>
      <c r="H151" s="3">
        <v>2.1405E-2</v>
      </c>
      <c r="I151" s="3">
        <f t="shared" si="2"/>
        <v>-3.3130117022718397</v>
      </c>
    </row>
    <row r="152" spans="3:11" x14ac:dyDescent="0.25">
      <c r="C152" t="s">
        <v>34</v>
      </c>
      <c r="D152" s="4">
        <v>6.4533619999999998E-3</v>
      </c>
      <c r="E152" s="1">
        <v>1.469175E-2</v>
      </c>
      <c r="F152">
        <v>0.43925064000000003</v>
      </c>
      <c r="G152">
        <v>1503.8520000000001</v>
      </c>
      <c r="H152" s="3">
        <v>0.66054299999999999</v>
      </c>
      <c r="I152" s="3">
        <f t="shared" si="2"/>
        <v>0.64742298055684433</v>
      </c>
    </row>
    <row r="153" spans="3:11" x14ac:dyDescent="0.25">
      <c r="E153" s="1"/>
    </row>
    <row r="154" spans="3:11" x14ac:dyDescent="0.25">
      <c r="C154" t="s">
        <v>60</v>
      </c>
      <c r="D154" s="4">
        <v>-6.3249119999999996E-4</v>
      </c>
      <c r="E154" s="1">
        <v>2.308522E-2</v>
      </c>
      <c r="F154">
        <v>-2.7398100000000002E-2</v>
      </c>
      <c r="G154" s="3">
        <v>1503.8520000000001</v>
      </c>
      <c r="H154" s="3">
        <v>0.97814579999999995</v>
      </c>
      <c r="I154" s="3">
        <f t="shared" si="2"/>
        <v>-6.3229121960517443E-2</v>
      </c>
    </row>
    <row r="155" spans="3:11" x14ac:dyDescent="0.25">
      <c r="C155" t="s">
        <v>36</v>
      </c>
      <c r="D155" s="4">
        <v>1.319086E-2</v>
      </c>
      <c r="E155" s="1">
        <v>2.6190270000000002E-2</v>
      </c>
      <c r="F155">
        <v>0.50365488999999997</v>
      </c>
      <c r="G155" s="1">
        <v>1503.8520000000001</v>
      </c>
      <c r="H155" s="3">
        <v>0.6145777</v>
      </c>
      <c r="I155" s="3">
        <f t="shared" si="2"/>
        <v>1.3278243190862016</v>
      </c>
      <c r="K155" s="1"/>
    </row>
    <row r="156" spans="3:11" x14ac:dyDescent="0.25">
      <c r="C156" t="s">
        <v>61</v>
      </c>
      <c r="D156" s="4">
        <v>1.308926E-2</v>
      </c>
      <c r="E156" s="1">
        <v>3.2614959999999998E-2</v>
      </c>
      <c r="F156" s="1">
        <v>0.40132678999999999</v>
      </c>
      <c r="G156" s="3">
        <v>1503.8520000000001</v>
      </c>
      <c r="H156" s="3">
        <v>0.68823659999999998</v>
      </c>
      <c r="I156" s="3">
        <f t="shared" si="2"/>
        <v>1.3175299350989489</v>
      </c>
      <c r="J156" s="1"/>
    </row>
    <row r="157" spans="3:11" x14ac:dyDescent="0.25">
      <c r="E157" s="1"/>
      <c r="F157" s="1"/>
      <c r="G157" s="3"/>
      <c r="J157" s="1"/>
    </row>
    <row r="158" spans="3:11" x14ac:dyDescent="0.25">
      <c r="C158" t="s">
        <v>62</v>
      </c>
      <c r="D158" s="4">
        <v>-2.2999760000000001E-2</v>
      </c>
      <c r="E158" s="3">
        <v>1.3159560000000001E-2</v>
      </c>
      <c r="F158" s="3">
        <v>-1.74776083</v>
      </c>
      <c r="G158" s="1">
        <v>1503.8520000000001</v>
      </c>
      <c r="H158" s="3">
        <v>8.0709530000000002E-2</v>
      </c>
      <c r="I158" s="3">
        <f t="shared" si="2"/>
        <v>-2.2737281683698707</v>
      </c>
      <c r="J158" s="1"/>
    </row>
    <row r="159" spans="3:11" x14ac:dyDescent="0.25">
      <c r="C159" t="s">
        <v>62</v>
      </c>
      <c r="D159" s="4">
        <v>-3.4822859999999997E-2</v>
      </c>
      <c r="E159" s="3">
        <v>2.542461E-2</v>
      </c>
      <c r="F159" s="3">
        <v>-1.3696519199999999</v>
      </c>
      <c r="G159">
        <v>1503.8520000000001</v>
      </c>
      <c r="H159" s="3">
        <v>0.17100009999999999</v>
      </c>
      <c r="I159" s="3">
        <f t="shared" si="2"/>
        <v>-3.4223521248439859</v>
      </c>
    </row>
    <row r="160" spans="3:11" x14ac:dyDescent="0.25">
      <c r="C160" t="s">
        <v>62</v>
      </c>
      <c r="D160" s="4">
        <v>-1.350136E-2</v>
      </c>
      <c r="E160" s="1">
        <v>1.5970640000000001E-2</v>
      </c>
      <c r="F160">
        <v>-0.84538659999999999</v>
      </c>
      <c r="G160">
        <v>1503.8520000000001</v>
      </c>
      <c r="H160" s="3">
        <v>0.39802949999999998</v>
      </c>
      <c r="I160" s="3">
        <f t="shared" si="2"/>
        <v>-1.3410625444729152</v>
      </c>
    </row>
    <row r="161" spans="3:9" x14ac:dyDescent="0.25">
      <c r="C161" t="s">
        <v>62</v>
      </c>
      <c r="D161" s="4">
        <v>-4.9053779999999998E-2</v>
      </c>
      <c r="E161" s="3">
        <v>1.9778879999999999E-2</v>
      </c>
      <c r="F161" s="3">
        <v>-2.4801090100000001</v>
      </c>
      <c r="G161">
        <v>1503.8520000000001</v>
      </c>
      <c r="H161" s="3">
        <v>1.324299E-2</v>
      </c>
      <c r="I161" s="3">
        <f t="shared" si="2"/>
        <v>-4.7870077225683811</v>
      </c>
    </row>
    <row r="162" spans="3:9" x14ac:dyDescent="0.25">
      <c r="C162" t="s">
        <v>54</v>
      </c>
      <c r="D162" s="4">
        <v>1.0238540000000001E-2</v>
      </c>
      <c r="E162" s="1">
        <v>1.0602479999999999E-2</v>
      </c>
      <c r="F162">
        <v>0.96567400000000003</v>
      </c>
      <c r="G162">
        <v>1503.8520000000001</v>
      </c>
      <c r="H162" s="3">
        <v>0.33436260000000001</v>
      </c>
      <c r="I162" s="3">
        <f t="shared" si="2"/>
        <v>1.0291133189909152</v>
      </c>
    </row>
    <row r="163" spans="3:9" x14ac:dyDescent="0.25">
      <c r="C163" t="s">
        <v>63</v>
      </c>
      <c r="D163" s="4">
        <v>3.9812849999999997E-2</v>
      </c>
      <c r="E163" s="1">
        <v>1.227658E-2</v>
      </c>
      <c r="F163">
        <v>3.2429910999999998</v>
      </c>
      <c r="G163">
        <v>1503.8520000000001</v>
      </c>
      <c r="H163" s="3">
        <v>1.208761E-3</v>
      </c>
      <c r="I163" s="3">
        <f t="shared" si="2"/>
        <v>4.0616004682123563</v>
      </c>
    </row>
    <row r="164" spans="3:9" x14ac:dyDescent="0.25">
      <c r="E164" s="1"/>
    </row>
    <row r="165" spans="3:9" x14ac:dyDescent="0.25">
      <c r="E165" s="1"/>
      <c r="I165" s="3">
        <f t="shared" si="2"/>
        <v>0</v>
      </c>
    </row>
    <row r="166" spans="3:9" x14ac:dyDescent="0.25">
      <c r="E166" s="1"/>
      <c r="I166" s="3">
        <f t="shared" si="2"/>
        <v>0</v>
      </c>
    </row>
    <row r="167" spans="3:9" x14ac:dyDescent="0.25">
      <c r="E167" s="1"/>
      <c r="I167" s="3">
        <f t="shared" si="2"/>
        <v>0</v>
      </c>
    </row>
    <row r="168" spans="3:9" x14ac:dyDescent="0.25">
      <c r="E168" s="1"/>
      <c r="I168" s="3">
        <f t="shared" si="2"/>
        <v>0</v>
      </c>
    </row>
    <row r="169" spans="3:9" x14ac:dyDescent="0.25">
      <c r="E169" s="1"/>
      <c r="I169" s="3">
        <f t="shared" si="2"/>
        <v>0</v>
      </c>
    </row>
    <row r="170" spans="3:9" x14ac:dyDescent="0.25">
      <c r="I170" s="3">
        <f t="shared" si="2"/>
        <v>0</v>
      </c>
    </row>
    <row r="171" spans="3:9" x14ac:dyDescent="0.25">
      <c r="I171" s="3">
        <f t="shared" si="2"/>
        <v>0</v>
      </c>
    </row>
    <row r="172" spans="3:9" x14ac:dyDescent="0.25">
      <c r="I172" s="3">
        <f t="shared" si="2"/>
        <v>0</v>
      </c>
    </row>
    <row r="173" spans="3:9" x14ac:dyDescent="0.25">
      <c r="I173" s="3">
        <f t="shared" si="2"/>
        <v>0</v>
      </c>
    </row>
    <row r="174" spans="3:9" x14ac:dyDescent="0.25">
      <c r="I174" s="3">
        <f t="shared" si="2"/>
        <v>0</v>
      </c>
    </row>
    <row r="175" spans="3:9" x14ac:dyDescent="0.25">
      <c r="I175" s="3">
        <f t="shared" si="2"/>
        <v>0</v>
      </c>
    </row>
    <row r="176" spans="3:9" x14ac:dyDescent="0.25">
      <c r="I176" s="3">
        <f t="shared" si="2"/>
        <v>0</v>
      </c>
    </row>
    <row r="177" spans="9:9" x14ac:dyDescent="0.25">
      <c r="I177" s="3">
        <f t="shared" si="2"/>
        <v>0</v>
      </c>
    </row>
    <row r="178" spans="9:9" x14ac:dyDescent="0.25">
      <c r="I178" s="3">
        <f t="shared" si="2"/>
        <v>0</v>
      </c>
    </row>
    <row r="179" spans="9:9" x14ac:dyDescent="0.25">
      <c r="I179" s="3">
        <f t="shared" si="2"/>
        <v>0</v>
      </c>
    </row>
    <row r="180" spans="9:9" x14ac:dyDescent="0.25">
      <c r="I180" s="3">
        <f t="shared" si="2"/>
        <v>0</v>
      </c>
    </row>
    <row r="181" spans="9:9" x14ac:dyDescent="0.25">
      <c r="I181" s="3">
        <f t="shared" si="2"/>
        <v>0</v>
      </c>
    </row>
    <row r="182" spans="9:9" x14ac:dyDescent="0.25">
      <c r="I182" s="3">
        <f t="shared" si="2"/>
        <v>0</v>
      </c>
    </row>
    <row r="183" spans="9:9" x14ac:dyDescent="0.25">
      <c r="I183" s="3">
        <f t="shared" si="2"/>
        <v>0</v>
      </c>
    </row>
    <row r="184" spans="9:9" x14ac:dyDescent="0.25">
      <c r="I184" s="3">
        <f t="shared" si="2"/>
        <v>0</v>
      </c>
    </row>
    <row r="185" spans="9:9" x14ac:dyDescent="0.25">
      <c r="I185" s="3">
        <f t="shared" si="2"/>
        <v>0</v>
      </c>
    </row>
    <row r="186" spans="9:9" x14ac:dyDescent="0.25">
      <c r="I186" s="3">
        <f t="shared" si="2"/>
        <v>0</v>
      </c>
    </row>
    <row r="187" spans="9:9" x14ac:dyDescent="0.25">
      <c r="I187" s="3">
        <f t="shared" si="2"/>
        <v>0</v>
      </c>
    </row>
    <row r="188" spans="9:9" x14ac:dyDescent="0.25">
      <c r="I188" s="3">
        <f t="shared" si="2"/>
        <v>0</v>
      </c>
    </row>
    <row r="189" spans="9:9" x14ac:dyDescent="0.25">
      <c r="I189" s="3">
        <f t="shared" si="2"/>
        <v>0</v>
      </c>
    </row>
    <row r="190" spans="9:9" x14ac:dyDescent="0.25">
      <c r="I190" s="3">
        <f t="shared" si="2"/>
        <v>0</v>
      </c>
    </row>
    <row r="191" spans="9:9" x14ac:dyDescent="0.25">
      <c r="I191" s="3">
        <f t="shared" si="2"/>
        <v>0</v>
      </c>
    </row>
    <row r="192" spans="9:9" x14ac:dyDescent="0.25">
      <c r="I192" s="3">
        <f t="shared" si="2"/>
        <v>0</v>
      </c>
    </row>
    <row r="193" spans="9:9" x14ac:dyDescent="0.25">
      <c r="I193" s="3">
        <f t="shared" si="2"/>
        <v>0</v>
      </c>
    </row>
    <row r="194" spans="9:9" x14ac:dyDescent="0.25">
      <c r="I194" s="3">
        <f t="shared" si="2"/>
        <v>0</v>
      </c>
    </row>
    <row r="195" spans="9:9" x14ac:dyDescent="0.25">
      <c r="I195" s="3">
        <f t="shared" si="2"/>
        <v>0</v>
      </c>
    </row>
    <row r="196" spans="9:9" x14ac:dyDescent="0.25">
      <c r="I196" s="3">
        <f t="shared" si="2"/>
        <v>0</v>
      </c>
    </row>
    <row r="197" spans="9:9" x14ac:dyDescent="0.25">
      <c r="I197" s="3">
        <f t="shared" ref="I197:I247" si="3">(EXP(D197)-1)*100</f>
        <v>0</v>
      </c>
    </row>
    <row r="198" spans="9:9" x14ac:dyDescent="0.25">
      <c r="I198" s="3">
        <f t="shared" si="3"/>
        <v>0</v>
      </c>
    </row>
    <row r="199" spans="9:9" x14ac:dyDescent="0.25">
      <c r="I199" s="3">
        <f t="shared" si="3"/>
        <v>0</v>
      </c>
    </row>
    <row r="200" spans="9:9" x14ac:dyDescent="0.25">
      <c r="I200" s="3">
        <f t="shared" si="3"/>
        <v>0</v>
      </c>
    </row>
    <row r="201" spans="9:9" x14ac:dyDescent="0.25">
      <c r="I201" s="3">
        <f t="shared" si="3"/>
        <v>0</v>
      </c>
    </row>
    <row r="202" spans="9:9" x14ac:dyDescent="0.25">
      <c r="I202" s="3">
        <f t="shared" si="3"/>
        <v>0</v>
      </c>
    </row>
    <row r="203" spans="9:9" x14ac:dyDescent="0.25">
      <c r="I203" s="3">
        <f t="shared" si="3"/>
        <v>0</v>
      </c>
    </row>
    <row r="204" spans="9:9" x14ac:dyDescent="0.25">
      <c r="I204" s="3">
        <f t="shared" si="3"/>
        <v>0</v>
      </c>
    </row>
    <row r="205" spans="9:9" x14ac:dyDescent="0.25">
      <c r="I205" s="3">
        <f t="shared" si="3"/>
        <v>0</v>
      </c>
    </row>
    <row r="206" spans="9:9" x14ac:dyDescent="0.25">
      <c r="I206" s="3">
        <f t="shared" si="3"/>
        <v>0</v>
      </c>
    </row>
    <row r="207" spans="9:9" x14ac:dyDescent="0.25">
      <c r="I207" s="3">
        <f t="shared" si="3"/>
        <v>0</v>
      </c>
    </row>
    <row r="208" spans="9:9" x14ac:dyDescent="0.25">
      <c r="I208" s="3">
        <f t="shared" si="3"/>
        <v>0</v>
      </c>
    </row>
    <row r="209" spans="9:9" x14ac:dyDescent="0.25">
      <c r="I209" s="3">
        <f t="shared" si="3"/>
        <v>0</v>
      </c>
    </row>
    <row r="210" spans="9:9" x14ac:dyDescent="0.25">
      <c r="I210" s="3">
        <f t="shared" si="3"/>
        <v>0</v>
      </c>
    </row>
    <row r="211" spans="9:9" x14ac:dyDescent="0.25">
      <c r="I211" s="3">
        <f t="shared" si="3"/>
        <v>0</v>
      </c>
    </row>
    <row r="212" spans="9:9" x14ac:dyDescent="0.25">
      <c r="I212" s="3">
        <f t="shared" si="3"/>
        <v>0</v>
      </c>
    </row>
    <row r="213" spans="9:9" x14ac:dyDescent="0.25">
      <c r="I213" s="3">
        <f t="shared" si="3"/>
        <v>0</v>
      </c>
    </row>
    <row r="214" spans="9:9" x14ac:dyDescent="0.25">
      <c r="I214" s="3">
        <f t="shared" si="3"/>
        <v>0</v>
      </c>
    </row>
    <row r="215" spans="9:9" x14ac:dyDescent="0.25">
      <c r="I215" s="3">
        <f t="shared" si="3"/>
        <v>0</v>
      </c>
    </row>
    <row r="216" spans="9:9" x14ac:dyDescent="0.25">
      <c r="I216" s="3">
        <f t="shared" si="3"/>
        <v>0</v>
      </c>
    </row>
    <row r="217" spans="9:9" x14ac:dyDescent="0.25">
      <c r="I217" s="3">
        <f t="shared" si="3"/>
        <v>0</v>
      </c>
    </row>
    <row r="218" spans="9:9" x14ac:dyDescent="0.25">
      <c r="I218" s="3">
        <f t="shared" si="3"/>
        <v>0</v>
      </c>
    </row>
    <row r="219" spans="9:9" x14ac:dyDescent="0.25">
      <c r="I219" s="3">
        <f t="shared" si="3"/>
        <v>0</v>
      </c>
    </row>
    <row r="220" spans="9:9" x14ac:dyDescent="0.25">
      <c r="I220" s="3">
        <f t="shared" si="3"/>
        <v>0</v>
      </c>
    </row>
    <row r="221" spans="9:9" x14ac:dyDescent="0.25">
      <c r="I221" s="3">
        <f t="shared" si="3"/>
        <v>0</v>
      </c>
    </row>
    <row r="222" spans="9:9" x14ac:dyDescent="0.25">
      <c r="I222" s="3">
        <f t="shared" si="3"/>
        <v>0</v>
      </c>
    </row>
    <row r="223" spans="9:9" x14ac:dyDescent="0.25">
      <c r="I223" s="3">
        <f t="shared" si="3"/>
        <v>0</v>
      </c>
    </row>
    <row r="224" spans="9:9" x14ac:dyDescent="0.25">
      <c r="I224" s="3">
        <f t="shared" si="3"/>
        <v>0</v>
      </c>
    </row>
    <row r="225" spans="9:9" x14ac:dyDescent="0.25">
      <c r="I225" s="3">
        <f t="shared" si="3"/>
        <v>0</v>
      </c>
    </row>
    <row r="226" spans="9:9" x14ac:dyDescent="0.25">
      <c r="I226" s="3">
        <f t="shared" si="3"/>
        <v>0</v>
      </c>
    </row>
    <row r="227" spans="9:9" x14ac:dyDescent="0.25">
      <c r="I227" s="3">
        <f t="shared" si="3"/>
        <v>0</v>
      </c>
    </row>
    <row r="228" spans="9:9" x14ac:dyDescent="0.25">
      <c r="I228" s="3">
        <f t="shared" si="3"/>
        <v>0</v>
      </c>
    </row>
    <row r="229" spans="9:9" x14ac:dyDescent="0.25">
      <c r="I229" s="3">
        <f t="shared" si="3"/>
        <v>0</v>
      </c>
    </row>
    <row r="230" spans="9:9" x14ac:dyDescent="0.25">
      <c r="I230" s="3">
        <f t="shared" si="3"/>
        <v>0</v>
      </c>
    </row>
    <row r="231" spans="9:9" x14ac:dyDescent="0.25">
      <c r="I231" s="3">
        <f t="shared" si="3"/>
        <v>0</v>
      </c>
    </row>
    <row r="232" spans="9:9" x14ac:dyDescent="0.25">
      <c r="I232" s="3">
        <f t="shared" si="3"/>
        <v>0</v>
      </c>
    </row>
    <row r="233" spans="9:9" x14ac:dyDescent="0.25">
      <c r="I233" s="3">
        <f t="shared" si="3"/>
        <v>0</v>
      </c>
    </row>
    <row r="234" spans="9:9" x14ac:dyDescent="0.25">
      <c r="I234" s="3">
        <f t="shared" si="3"/>
        <v>0</v>
      </c>
    </row>
    <row r="235" spans="9:9" x14ac:dyDescent="0.25">
      <c r="I235" s="3">
        <f t="shared" si="3"/>
        <v>0</v>
      </c>
    </row>
    <row r="236" spans="9:9" x14ac:dyDescent="0.25">
      <c r="I236" s="3">
        <f t="shared" si="3"/>
        <v>0</v>
      </c>
    </row>
    <row r="237" spans="9:9" x14ac:dyDescent="0.25">
      <c r="I237" s="3">
        <f t="shared" si="3"/>
        <v>0</v>
      </c>
    </row>
    <row r="238" spans="9:9" x14ac:dyDescent="0.25">
      <c r="I238" s="3">
        <f t="shared" si="3"/>
        <v>0</v>
      </c>
    </row>
    <row r="239" spans="9:9" x14ac:dyDescent="0.25">
      <c r="I239" s="3">
        <f t="shared" si="3"/>
        <v>0</v>
      </c>
    </row>
    <row r="240" spans="9:9" x14ac:dyDescent="0.25">
      <c r="I240" s="3">
        <f t="shared" si="3"/>
        <v>0</v>
      </c>
    </row>
    <row r="241" spans="9:9" x14ac:dyDescent="0.25">
      <c r="I241" s="3">
        <f t="shared" si="3"/>
        <v>0</v>
      </c>
    </row>
    <row r="242" spans="9:9" x14ac:dyDescent="0.25">
      <c r="I242" s="3">
        <f t="shared" si="3"/>
        <v>0</v>
      </c>
    </row>
    <row r="243" spans="9:9" x14ac:dyDescent="0.25">
      <c r="I243" s="3">
        <f t="shared" si="3"/>
        <v>0</v>
      </c>
    </row>
    <row r="244" spans="9:9" x14ac:dyDescent="0.25">
      <c r="I244" s="3">
        <f t="shared" si="3"/>
        <v>0</v>
      </c>
    </row>
    <row r="245" spans="9:9" x14ac:dyDescent="0.25">
      <c r="I245" s="3">
        <f t="shared" si="3"/>
        <v>0</v>
      </c>
    </row>
    <row r="246" spans="9:9" x14ac:dyDescent="0.25">
      <c r="I246" s="3">
        <f t="shared" si="3"/>
        <v>0</v>
      </c>
    </row>
    <row r="247" spans="9:9" x14ac:dyDescent="0.25">
      <c r="I247" s="3">
        <f t="shared" si="3"/>
        <v>0</v>
      </c>
    </row>
    <row r="250" spans="9:9" x14ac:dyDescent="0.25">
      <c r="I250" s="3">
        <f t="shared" ref="I250:I281" si="4">EXP(D250)</f>
        <v>1</v>
      </c>
    </row>
    <row r="251" spans="9:9" x14ac:dyDescent="0.25">
      <c r="I251" s="3">
        <f t="shared" si="4"/>
        <v>1</v>
      </c>
    </row>
    <row r="252" spans="9:9" x14ac:dyDescent="0.25">
      <c r="I252" s="3">
        <f t="shared" si="4"/>
        <v>1</v>
      </c>
    </row>
    <row r="253" spans="9:9" x14ac:dyDescent="0.25">
      <c r="I253" s="3">
        <f t="shared" si="4"/>
        <v>1</v>
      </c>
    </row>
    <row r="254" spans="9:9" x14ac:dyDescent="0.25">
      <c r="I254" s="3">
        <f t="shared" si="4"/>
        <v>1</v>
      </c>
    </row>
    <row r="255" spans="9:9" x14ac:dyDescent="0.25">
      <c r="I255" s="3">
        <f t="shared" si="4"/>
        <v>1</v>
      </c>
    </row>
    <row r="256" spans="9:9" x14ac:dyDescent="0.25">
      <c r="I256" s="3">
        <f t="shared" si="4"/>
        <v>1</v>
      </c>
    </row>
    <row r="257" spans="9:9" x14ac:dyDescent="0.25">
      <c r="I257" s="3">
        <f t="shared" si="4"/>
        <v>1</v>
      </c>
    </row>
    <row r="258" spans="9:9" x14ac:dyDescent="0.25">
      <c r="I258" s="3">
        <f t="shared" si="4"/>
        <v>1</v>
      </c>
    </row>
    <row r="259" spans="9:9" x14ac:dyDescent="0.25">
      <c r="I259" s="3">
        <f t="shared" si="4"/>
        <v>1</v>
      </c>
    </row>
    <row r="260" spans="9:9" x14ac:dyDescent="0.25">
      <c r="I260" s="3">
        <f t="shared" si="4"/>
        <v>1</v>
      </c>
    </row>
    <row r="261" spans="9:9" x14ac:dyDescent="0.25">
      <c r="I261" s="3">
        <f t="shared" si="4"/>
        <v>1</v>
      </c>
    </row>
    <row r="262" spans="9:9" x14ac:dyDescent="0.25">
      <c r="I262" s="3">
        <f t="shared" si="4"/>
        <v>1</v>
      </c>
    </row>
    <row r="263" spans="9:9" x14ac:dyDescent="0.25">
      <c r="I263" s="3">
        <f t="shared" si="4"/>
        <v>1</v>
      </c>
    </row>
    <row r="264" spans="9:9" x14ac:dyDescent="0.25">
      <c r="I264" s="3">
        <f t="shared" si="4"/>
        <v>1</v>
      </c>
    </row>
    <row r="265" spans="9:9" x14ac:dyDescent="0.25">
      <c r="I265" s="3">
        <f t="shared" si="4"/>
        <v>1</v>
      </c>
    </row>
    <row r="266" spans="9:9" x14ac:dyDescent="0.25">
      <c r="I266" s="3">
        <f t="shared" si="4"/>
        <v>1</v>
      </c>
    </row>
    <row r="267" spans="9:9" x14ac:dyDescent="0.25">
      <c r="I267" s="3">
        <f t="shared" si="4"/>
        <v>1</v>
      </c>
    </row>
    <row r="268" spans="9:9" x14ac:dyDescent="0.25">
      <c r="I268" s="3">
        <f t="shared" si="4"/>
        <v>1</v>
      </c>
    </row>
    <row r="269" spans="9:9" x14ac:dyDescent="0.25">
      <c r="I269" s="3">
        <f t="shared" si="4"/>
        <v>1</v>
      </c>
    </row>
    <row r="270" spans="9:9" x14ac:dyDescent="0.25">
      <c r="I270" s="3">
        <f t="shared" si="4"/>
        <v>1</v>
      </c>
    </row>
    <row r="271" spans="9:9" x14ac:dyDescent="0.25">
      <c r="I271" s="3">
        <f t="shared" si="4"/>
        <v>1</v>
      </c>
    </row>
    <row r="272" spans="9:9" x14ac:dyDescent="0.25">
      <c r="I272" s="3">
        <f t="shared" si="4"/>
        <v>1</v>
      </c>
    </row>
    <row r="273" spans="9:9" x14ac:dyDescent="0.25">
      <c r="I273" s="3">
        <f t="shared" si="4"/>
        <v>1</v>
      </c>
    </row>
    <row r="274" spans="9:9" x14ac:dyDescent="0.25">
      <c r="I274" s="3">
        <f t="shared" si="4"/>
        <v>1</v>
      </c>
    </row>
    <row r="275" spans="9:9" x14ac:dyDescent="0.25">
      <c r="I275" s="3">
        <f t="shared" si="4"/>
        <v>1</v>
      </c>
    </row>
    <row r="276" spans="9:9" x14ac:dyDescent="0.25">
      <c r="I276" s="3">
        <f t="shared" si="4"/>
        <v>1</v>
      </c>
    </row>
    <row r="277" spans="9:9" x14ac:dyDescent="0.25">
      <c r="I277" s="3">
        <f t="shared" si="4"/>
        <v>1</v>
      </c>
    </row>
    <row r="278" spans="9:9" x14ac:dyDescent="0.25">
      <c r="I278" s="3">
        <f t="shared" si="4"/>
        <v>1</v>
      </c>
    </row>
    <row r="279" spans="9:9" x14ac:dyDescent="0.25">
      <c r="I279" s="3">
        <f t="shared" si="4"/>
        <v>1</v>
      </c>
    </row>
    <row r="280" spans="9:9" x14ac:dyDescent="0.25">
      <c r="I280" s="3">
        <f t="shared" si="4"/>
        <v>1</v>
      </c>
    </row>
    <row r="281" spans="9:9" x14ac:dyDescent="0.25">
      <c r="I281" s="3">
        <f t="shared" si="4"/>
        <v>1</v>
      </c>
    </row>
    <row r="282" spans="9:9" x14ac:dyDescent="0.25">
      <c r="I282" s="3">
        <f t="shared" ref="I282:I345" si="5">EXP(D282)</f>
        <v>1</v>
      </c>
    </row>
    <row r="283" spans="9:9" x14ac:dyDescent="0.25">
      <c r="I283" s="3">
        <f t="shared" si="5"/>
        <v>1</v>
      </c>
    </row>
    <row r="284" spans="9:9" x14ac:dyDescent="0.25">
      <c r="I284" s="3">
        <f t="shared" si="5"/>
        <v>1</v>
      </c>
    </row>
    <row r="285" spans="9:9" x14ac:dyDescent="0.25">
      <c r="I285" s="3">
        <f t="shared" si="5"/>
        <v>1</v>
      </c>
    </row>
    <row r="286" spans="9:9" x14ac:dyDescent="0.25">
      <c r="I286" s="3">
        <f t="shared" si="5"/>
        <v>1</v>
      </c>
    </row>
    <row r="287" spans="9:9" x14ac:dyDescent="0.25">
      <c r="I287" s="3">
        <f t="shared" si="5"/>
        <v>1</v>
      </c>
    </row>
    <row r="288" spans="9:9" x14ac:dyDescent="0.25">
      <c r="I288" s="3">
        <f t="shared" si="5"/>
        <v>1</v>
      </c>
    </row>
    <row r="289" spans="9:9" x14ac:dyDescent="0.25">
      <c r="I289" s="3">
        <f t="shared" si="5"/>
        <v>1</v>
      </c>
    </row>
    <row r="290" spans="9:9" x14ac:dyDescent="0.25">
      <c r="I290" s="3">
        <f t="shared" si="5"/>
        <v>1</v>
      </c>
    </row>
    <row r="291" spans="9:9" x14ac:dyDescent="0.25">
      <c r="I291" s="3">
        <f t="shared" si="5"/>
        <v>1</v>
      </c>
    </row>
    <row r="292" spans="9:9" x14ac:dyDescent="0.25">
      <c r="I292" s="3">
        <f t="shared" si="5"/>
        <v>1</v>
      </c>
    </row>
    <row r="293" spans="9:9" x14ac:dyDescent="0.25">
      <c r="I293" s="3">
        <f t="shared" si="5"/>
        <v>1</v>
      </c>
    </row>
    <row r="294" spans="9:9" x14ac:dyDescent="0.25">
      <c r="I294" s="3">
        <f t="shared" si="5"/>
        <v>1</v>
      </c>
    </row>
    <row r="295" spans="9:9" x14ac:dyDescent="0.25">
      <c r="I295" s="3">
        <f t="shared" si="5"/>
        <v>1</v>
      </c>
    </row>
    <row r="296" spans="9:9" x14ac:dyDescent="0.25">
      <c r="I296" s="3">
        <f t="shared" si="5"/>
        <v>1</v>
      </c>
    </row>
    <row r="297" spans="9:9" x14ac:dyDescent="0.25">
      <c r="I297" s="3">
        <f t="shared" si="5"/>
        <v>1</v>
      </c>
    </row>
    <row r="298" spans="9:9" x14ac:dyDescent="0.25">
      <c r="I298" s="3">
        <f t="shared" si="5"/>
        <v>1</v>
      </c>
    </row>
    <row r="299" spans="9:9" x14ac:dyDescent="0.25">
      <c r="I299" s="3">
        <f t="shared" si="5"/>
        <v>1</v>
      </c>
    </row>
    <row r="300" spans="9:9" x14ac:dyDescent="0.25">
      <c r="I300" s="3">
        <f t="shared" si="5"/>
        <v>1</v>
      </c>
    </row>
    <row r="301" spans="9:9" x14ac:dyDescent="0.25">
      <c r="I301" s="3">
        <f t="shared" si="5"/>
        <v>1</v>
      </c>
    </row>
    <row r="302" spans="9:9" x14ac:dyDescent="0.25">
      <c r="I302" s="3">
        <f t="shared" si="5"/>
        <v>1</v>
      </c>
    </row>
    <row r="303" spans="9:9" x14ac:dyDescent="0.25">
      <c r="I303" s="3">
        <f t="shared" si="5"/>
        <v>1</v>
      </c>
    </row>
    <row r="304" spans="9:9" x14ac:dyDescent="0.25">
      <c r="I304" s="3">
        <f t="shared" si="5"/>
        <v>1</v>
      </c>
    </row>
    <row r="305" spans="9:9" x14ac:dyDescent="0.25">
      <c r="I305" s="3">
        <f t="shared" si="5"/>
        <v>1</v>
      </c>
    </row>
    <row r="306" spans="9:9" x14ac:dyDescent="0.25">
      <c r="I306" s="3">
        <f t="shared" si="5"/>
        <v>1</v>
      </c>
    </row>
    <row r="307" spans="9:9" x14ac:dyDescent="0.25">
      <c r="I307" s="3">
        <f t="shared" si="5"/>
        <v>1</v>
      </c>
    </row>
    <row r="308" spans="9:9" x14ac:dyDescent="0.25">
      <c r="I308" s="3">
        <f t="shared" si="5"/>
        <v>1</v>
      </c>
    </row>
    <row r="309" spans="9:9" x14ac:dyDescent="0.25">
      <c r="I309" s="3">
        <f t="shared" si="5"/>
        <v>1</v>
      </c>
    </row>
    <row r="310" spans="9:9" x14ac:dyDescent="0.25">
      <c r="I310" s="3">
        <f t="shared" si="5"/>
        <v>1</v>
      </c>
    </row>
    <row r="311" spans="9:9" x14ac:dyDescent="0.25">
      <c r="I311" s="3">
        <f t="shared" si="5"/>
        <v>1</v>
      </c>
    </row>
    <row r="312" spans="9:9" x14ac:dyDescent="0.25">
      <c r="I312" s="3">
        <f t="shared" si="5"/>
        <v>1</v>
      </c>
    </row>
    <row r="313" spans="9:9" x14ac:dyDescent="0.25">
      <c r="I313" s="3">
        <f t="shared" si="5"/>
        <v>1</v>
      </c>
    </row>
    <row r="314" spans="9:9" x14ac:dyDescent="0.25">
      <c r="I314" s="3">
        <f t="shared" si="5"/>
        <v>1</v>
      </c>
    </row>
    <row r="315" spans="9:9" x14ac:dyDescent="0.25">
      <c r="I315" s="3">
        <f t="shared" si="5"/>
        <v>1</v>
      </c>
    </row>
    <row r="316" spans="9:9" x14ac:dyDescent="0.25">
      <c r="I316" s="3">
        <f t="shared" si="5"/>
        <v>1</v>
      </c>
    </row>
    <row r="317" spans="9:9" x14ac:dyDescent="0.25">
      <c r="I317" s="3">
        <f t="shared" si="5"/>
        <v>1</v>
      </c>
    </row>
    <row r="318" spans="9:9" x14ac:dyDescent="0.25">
      <c r="I318" s="3">
        <f t="shared" si="5"/>
        <v>1</v>
      </c>
    </row>
    <row r="319" spans="9:9" x14ac:dyDescent="0.25">
      <c r="I319" s="3">
        <f t="shared" si="5"/>
        <v>1</v>
      </c>
    </row>
    <row r="320" spans="9:9" x14ac:dyDescent="0.25">
      <c r="I320" s="3">
        <f t="shared" si="5"/>
        <v>1</v>
      </c>
    </row>
    <row r="321" spans="9:9" x14ac:dyDescent="0.25">
      <c r="I321" s="3">
        <f t="shared" si="5"/>
        <v>1</v>
      </c>
    </row>
    <row r="322" spans="9:9" x14ac:dyDescent="0.25">
      <c r="I322" s="3">
        <f t="shared" si="5"/>
        <v>1</v>
      </c>
    </row>
    <row r="323" spans="9:9" x14ac:dyDescent="0.25">
      <c r="I323" s="3">
        <f t="shared" si="5"/>
        <v>1</v>
      </c>
    </row>
    <row r="324" spans="9:9" x14ac:dyDescent="0.25">
      <c r="I324" s="3">
        <f t="shared" si="5"/>
        <v>1</v>
      </c>
    </row>
    <row r="325" spans="9:9" x14ac:dyDescent="0.25">
      <c r="I325" s="3">
        <f t="shared" si="5"/>
        <v>1</v>
      </c>
    </row>
    <row r="326" spans="9:9" x14ac:dyDescent="0.25">
      <c r="I326" s="3">
        <f t="shared" si="5"/>
        <v>1</v>
      </c>
    </row>
    <row r="327" spans="9:9" x14ac:dyDescent="0.25">
      <c r="I327" s="3">
        <f t="shared" si="5"/>
        <v>1</v>
      </c>
    </row>
    <row r="328" spans="9:9" x14ac:dyDescent="0.25">
      <c r="I328" s="3">
        <f t="shared" si="5"/>
        <v>1</v>
      </c>
    </row>
    <row r="329" spans="9:9" x14ac:dyDescent="0.25">
      <c r="I329" s="3">
        <f t="shared" si="5"/>
        <v>1</v>
      </c>
    </row>
    <row r="330" spans="9:9" x14ac:dyDescent="0.25">
      <c r="I330" s="3">
        <f t="shared" si="5"/>
        <v>1</v>
      </c>
    </row>
    <row r="331" spans="9:9" x14ac:dyDescent="0.25">
      <c r="I331" s="3">
        <f t="shared" si="5"/>
        <v>1</v>
      </c>
    </row>
    <row r="332" spans="9:9" x14ac:dyDescent="0.25">
      <c r="I332" s="3">
        <f t="shared" si="5"/>
        <v>1</v>
      </c>
    </row>
    <row r="333" spans="9:9" x14ac:dyDescent="0.25">
      <c r="I333" s="3">
        <f t="shared" si="5"/>
        <v>1</v>
      </c>
    </row>
    <row r="334" spans="9:9" x14ac:dyDescent="0.25">
      <c r="I334" s="3">
        <f t="shared" si="5"/>
        <v>1</v>
      </c>
    </row>
    <row r="335" spans="9:9" x14ac:dyDescent="0.25">
      <c r="I335" s="3">
        <f t="shared" si="5"/>
        <v>1</v>
      </c>
    </row>
    <row r="336" spans="9:9" x14ac:dyDescent="0.25">
      <c r="I336" s="3">
        <f t="shared" si="5"/>
        <v>1</v>
      </c>
    </row>
    <row r="337" spans="9:9" x14ac:dyDescent="0.25">
      <c r="I337" s="3">
        <f t="shared" si="5"/>
        <v>1</v>
      </c>
    </row>
    <row r="338" spans="9:9" x14ac:dyDescent="0.25">
      <c r="I338" s="3">
        <f t="shared" si="5"/>
        <v>1</v>
      </c>
    </row>
    <row r="339" spans="9:9" x14ac:dyDescent="0.25">
      <c r="I339" s="3">
        <f t="shared" si="5"/>
        <v>1</v>
      </c>
    </row>
    <row r="340" spans="9:9" x14ac:dyDescent="0.25">
      <c r="I340" s="3">
        <f t="shared" si="5"/>
        <v>1</v>
      </c>
    </row>
    <row r="341" spans="9:9" x14ac:dyDescent="0.25">
      <c r="I341" s="3">
        <f t="shared" si="5"/>
        <v>1</v>
      </c>
    </row>
    <row r="342" spans="9:9" x14ac:dyDescent="0.25">
      <c r="I342" s="3">
        <f t="shared" si="5"/>
        <v>1</v>
      </c>
    </row>
    <row r="343" spans="9:9" x14ac:dyDescent="0.25">
      <c r="I343" s="3">
        <f t="shared" si="5"/>
        <v>1</v>
      </c>
    </row>
    <row r="344" spans="9:9" x14ac:dyDescent="0.25">
      <c r="I344" s="3">
        <f t="shared" si="5"/>
        <v>1</v>
      </c>
    </row>
    <row r="345" spans="9:9" x14ac:dyDescent="0.25">
      <c r="I345" s="3">
        <f t="shared" si="5"/>
        <v>1</v>
      </c>
    </row>
    <row r="346" spans="9:9" x14ac:dyDescent="0.25">
      <c r="I346" s="3">
        <f t="shared" ref="I346:I348" si="6">EXP(D346)</f>
        <v>1</v>
      </c>
    </row>
    <row r="347" spans="9:9" x14ac:dyDescent="0.25">
      <c r="I347" s="3">
        <f t="shared" si="6"/>
        <v>1</v>
      </c>
    </row>
    <row r="348" spans="9:9" x14ac:dyDescent="0.25">
      <c r="I348" s="3">
        <f t="shared" si="6"/>
        <v>1</v>
      </c>
    </row>
  </sheetData>
  <conditionalFormatting sqref="H1:H121 G122 H123:H127 G128 H129:H147 G148 H149 G150 H151:H153 G154 H155 G156:G157 E158:E159 H160 E161 H162:H1048576">
    <cfRule type="cellIs" dxfId="0" priority="1" operator="less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2016 Self-Suff</vt:lpstr>
      <vt:lpstr>2017 ES</vt:lpstr>
      <vt:lpstr>2018</vt:lpstr>
      <vt:lpstr>Unimputed Pooled Self-Sufficien</vt:lpstr>
      <vt:lpstr>Pooled Self-sufficiency</vt:lpstr>
      <vt:lpstr>POOLED JOB1YEAR</vt:lpstr>
      <vt:lpstr>HOURS POOLED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Scholes</dc:creator>
  <cp:lastModifiedBy>Paul Scholes</cp:lastModifiedBy>
  <dcterms:created xsi:type="dcterms:W3CDTF">2022-04-04T18:08:33Z</dcterms:created>
  <dcterms:modified xsi:type="dcterms:W3CDTF">2024-06-28T20:08:54Z</dcterms:modified>
</cp:coreProperties>
</file>